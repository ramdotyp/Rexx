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mo\Downloads\"/>
    </mc:Choice>
  </mc:AlternateContent>
  <xr:revisionPtr revIDLastSave="0" documentId="13_ncr:1_{C608158E-67EB-4E2D-BAFB-B99BC8C3B16E}" xr6:coauthVersionLast="47" xr6:coauthVersionMax="47" xr10:uidLastSave="{00000000-0000-0000-0000-000000000000}"/>
  <bookViews>
    <workbookView xWindow="-120" yWindow="-120" windowWidth="29040" windowHeight="15720" activeTab="1" xr2:uid="{E58C14CE-1EC1-41BE-B807-FE72173F938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9" i="1" l="1"/>
  <c r="M29" i="1" s="1"/>
  <c r="N29" i="1" s="1"/>
  <c r="L28" i="1"/>
  <c r="M28" i="1" s="1"/>
  <c r="N28" i="1" s="1"/>
  <c r="T27" i="1"/>
  <c r="L27" i="1"/>
  <c r="L30" i="1" s="1"/>
  <c r="M25" i="1"/>
  <c r="L22" i="1"/>
  <c r="M22" i="1" s="1"/>
  <c r="N22" i="1" s="1"/>
  <c r="L21" i="1"/>
  <c r="M21" i="1" s="1"/>
  <c r="N21" i="1" s="1"/>
  <c r="T20" i="1"/>
  <c r="L20" i="1"/>
  <c r="M20" i="1" s="1"/>
  <c r="M18" i="1"/>
  <c r="L13" i="1"/>
  <c r="M13" i="1" s="1"/>
  <c r="N13" i="1" s="1"/>
  <c r="T12" i="1"/>
  <c r="L12" i="1"/>
  <c r="L14" i="1" s="1"/>
  <c r="R11" i="1"/>
  <c r="Q11" i="1"/>
  <c r="T11" i="1" s="1"/>
  <c r="M10" i="1"/>
  <c r="M6" i="1"/>
  <c r="N6" i="1" s="1"/>
  <c r="L6" i="1"/>
  <c r="L5" i="1"/>
  <c r="M5" i="1" s="1"/>
  <c r="N5" i="1" s="1"/>
  <c r="T4" i="1"/>
  <c r="L4" i="1"/>
  <c r="L7" i="1" s="1"/>
  <c r="Q3" i="1"/>
  <c r="M2" i="1"/>
  <c r="B3" i="1"/>
  <c r="C3" i="1" s="1"/>
  <c r="E3" i="1" s="1"/>
  <c r="F3" i="1" s="1"/>
  <c r="G3" i="1" s="1"/>
  <c r="B4" i="1"/>
  <c r="C4" i="1" s="1"/>
  <c r="E4" i="1" s="1"/>
  <c r="F4" i="1" s="1"/>
  <c r="G4" i="1" s="1"/>
  <c r="B5" i="1"/>
  <c r="C5" i="1" s="1"/>
  <c r="E5" i="1" s="1"/>
  <c r="F5" i="1" s="1"/>
  <c r="G5" i="1" s="1"/>
  <c r="B6" i="1"/>
  <c r="C6" i="1" s="1"/>
  <c r="E6" i="1" s="1"/>
  <c r="F6" i="1" s="1"/>
  <c r="G6" i="1" s="1"/>
  <c r="B7" i="1"/>
  <c r="C7" i="1" s="1"/>
  <c r="E7" i="1" s="1"/>
  <c r="F7" i="1" s="1"/>
  <c r="G7" i="1" s="1"/>
  <c r="B8" i="1"/>
  <c r="C8" i="1" s="1"/>
  <c r="E8" i="1" s="1"/>
  <c r="F8" i="1" s="1"/>
  <c r="G8" i="1" s="1"/>
  <c r="B9" i="1"/>
  <c r="C9" i="1" s="1"/>
  <c r="E9" i="1" s="1"/>
  <c r="F9" i="1" s="1"/>
  <c r="G9" i="1" s="1"/>
  <c r="B10" i="1"/>
  <c r="C10" i="1" s="1"/>
  <c r="E10" i="1" s="1"/>
  <c r="F10" i="1" s="1"/>
  <c r="G10" i="1" s="1"/>
  <c r="B11" i="1"/>
  <c r="C11" i="1" s="1"/>
  <c r="E11" i="1" s="1"/>
  <c r="F11" i="1" s="1"/>
  <c r="G11" i="1" s="1"/>
  <c r="B12" i="1"/>
  <c r="C12" i="1" s="1"/>
  <c r="E12" i="1" s="1"/>
  <c r="F12" i="1" s="1"/>
  <c r="G12" i="1" s="1"/>
  <c r="B13" i="1"/>
  <c r="C13" i="1" s="1"/>
  <c r="E13" i="1" s="1"/>
  <c r="F13" i="1" s="1"/>
  <c r="G13" i="1" s="1"/>
  <c r="B14" i="1"/>
  <c r="C14" i="1" s="1"/>
  <c r="E14" i="1" s="1"/>
  <c r="F14" i="1" s="1"/>
  <c r="G14" i="1" s="1"/>
  <c r="B15" i="1"/>
  <c r="C15" i="1" s="1"/>
  <c r="E15" i="1" s="1"/>
  <c r="F15" i="1" s="1"/>
  <c r="G15" i="1" s="1"/>
  <c r="B16" i="1"/>
  <c r="C16" i="1" s="1"/>
  <c r="E16" i="1" s="1"/>
  <c r="F16" i="1" s="1"/>
  <c r="G16" i="1" s="1"/>
  <c r="B17" i="1"/>
  <c r="C17" i="1" s="1"/>
  <c r="E17" i="1" s="1"/>
  <c r="F17" i="1" s="1"/>
  <c r="G17" i="1" s="1"/>
  <c r="B18" i="1"/>
  <c r="C18" i="1" s="1"/>
  <c r="E18" i="1" s="1"/>
  <c r="F18" i="1" s="1"/>
  <c r="G18" i="1" s="1"/>
  <c r="B19" i="1"/>
  <c r="C19" i="1" s="1"/>
  <c r="E19" i="1" s="1"/>
  <c r="F19" i="1" s="1"/>
  <c r="G19" i="1" s="1"/>
  <c r="B20" i="1"/>
  <c r="C20" i="1" s="1"/>
  <c r="E20" i="1" s="1"/>
  <c r="F20" i="1" s="1"/>
  <c r="G20" i="1" s="1"/>
  <c r="B21" i="1"/>
  <c r="C21" i="1" s="1"/>
  <c r="E21" i="1" s="1"/>
  <c r="F21" i="1" s="1"/>
  <c r="G21" i="1" s="1"/>
  <c r="B22" i="1"/>
  <c r="C22" i="1" s="1"/>
  <c r="E22" i="1" s="1"/>
  <c r="F22" i="1" s="1"/>
  <c r="G22" i="1" s="1"/>
  <c r="B23" i="1"/>
  <c r="C23" i="1" s="1"/>
  <c r="E23" i="1" s="1"/>
  <c r="F23" i="1" s="1"/>
  <c r="G23" i="1" s="1"/>
  <c r="B24" i="1"/>
  <c r="C24" i="1" s="1"/>
  <c r="E24" i="1" s="1"/>
  <c r="F24" i="1" s="1"/>
  <c r="G24" i="1" s="1"/>
  <c r="B25" i="1"/>
  <c r="C25" i="1" s="1"/>
  <c r="E25" i="1" s="1"/>
  <c r="F25" i="1" s="1"/>
  <c r="G25" i="1" s="1"/>
  <c r="B26" i="1"/>
  <c r="C26" i="1" s="1"/>
  <c r="E26" i="1" s="1"/>
  <c r="F26" i="1" s="1"/>
  <c r="G26" i="1" s="1"/>
  <c r="B27" i="1"/>
  <c r="C27" i="1" s="1"/>
  <c r="E27" i="1" s="1"/>
  <c r="F27" i="1" s="1"/>
  <c r="G27" i="1" s="1"/>
  <c r="B28" i="1"/>
  <c r="C28" i="1" s="1"/>
  <c r="E28" i="1" s="1"/>
  <c r="F28" i="1" s="1"/>
  <c r="G28" i="1" s="1"/>
  <c r="B29" i="1"/>
  <c r="C29" i="1" s="1"/>
  <c r="E29" i="1" s="1"/>
  <c r="F29" i="1" s="1"/>
  <c r="G29" i="1" s="1"/>
  <c r="B30" i="1"/>
  <c r="C30" i="1" s="1"/>
  <c r="E30" i="1" s="1"/>
  <c r="F30" i="1" s="1"/>
  <c r="G30" i="1" s="1"/>
  <c r="B31" i="1"/>
  <c r="C31" i="1" s="1"/>
  <c r="E31" i="1" s="1"/>
  <c r="F31" i="1" s="1"/>
  <c r="G31" i="1" s="1"/>
  <c r="B32" i="1"/>
  <c r="C32" i="1" s="1"/>
  <c r="E32" i="1" s="1"/>
  <c r="F32" i="1" s="1"/>
  <c r="G32" i="1" s="1"/>
  <c r="B33" i="1"/>
  <c r="C33" i="1" s="1"/>
  <c r="E33" i="1" s="1"/>
  <c r="F33" i="1" s="1"/>
  <c r="G33" i="1" s="1"/>
  <c r="B34" i="1"/>
  <c r="C34" i="1" s="1"/>
  <c r="E34" i="1" s="1"/>
  <c r="F34" i="1" s="1"/>
  <c r="G34" i="1" s="1"/>
  <c r="B35" i="1"/>
  <c r="C35" i="1" s="1"/>
  <c r="E35" i="1" s="1"/>
  <c r="F35" i="1" s="1"/>
  <c r="G35" i="1" s="1"/>
  <c r="B36" i="1"/>
  <c r="C36" i="1" s="1"/>
  <c r="E36" i="1" s="1"/>
  <c r="F36" i="1" s="1"/>
  <c r="G36" i="1" s="1"/>
  <c r="B37" i="1"/>
  <c r="C37" i="1" s="1"/>
  <c r="E37" i="1" s="1"/>
  <c r="F37" i="1" s="1"/>
  <c r="G37" i="1" s="1"/>
  <c r="B38" i="1"/>
  <c r="C38" i="1" s="1"/>
  <c r="E38" i="1" s="1"/>
  <c r="F38" i="1" s="1"/>
  <c r="G38" i="1" s="1"/>
  <c r="B39" i="1"/>
  <c r="C39" i="1" s="1"/>
  <c r="E39" i="1" s="1"/>
  <c r="F39" i="1" s="1"/>
  <c r="G39" i="1" s="1"/>
  <c r="B40" i="1"/>
  <c r="C40" i="1" s="1"/>
  <c r="E40" i="1" s="1"/>
  <c r="F40" i="1" s="1"/>
  <c r="G40" i="1" s="1"/>
  <c r="B41" i="1"/>
  <c r="C41" i="1" s="1"/>
  <c r="E41" i="1" s="1"/>
  <c r="F41" i="1" s="1"/>
  <c r="G41" i="1" s="1"/>
  <c r="B42" i="1"/>
  <c r="C42" i="1" s="1"/>
  <c r="E42" i="1" s="1"/>
  <c r="F42" i="1" s="1"/>
  <c r="G42" i="1" s="1"/>
  <c r="B43" i="1"/>
  <c r="C43" i="1" s="1"/>
  <c r="E43" i="1" s="1"/>
  <c r="F43" i="1" s="1"/>
  <c r="G43" i="1" s="1"/>
  <c r="B44" i="1"/>
  <c r="C44" i="1" s="1"/>
  <c r="E44" i="1" s="1"/>
  <c r="F44" i="1" s="1"/>
  <c r="G44" i="1" s="1"/>
  <c r="B45" i="1"/>
  <c r="C45" i="1" s="1"/>
  <c r="E45" i="1" s="1"/>
  <c r="F45" i="1" s="1"/>
  <c r="G45" i="1" s="1"/>
  <c r="B46" i="1"/>
  <c r="C46" i="1" s="1"/>
  <c r="E46" i="1" s="1"/>
  <c r="F46" i="1" s="1"/>
  <c r="G46" i="1" s="1"/>
  <c r="B47" i="1"/>
  <c r="C47" i="1" s="1"/>
  <c r="E47" i="1" s="1"/>
  <c r="F47" i="1" s="1"/>
  <c r="G47" i="1" s="1"/>
  <c r="B48" i="1"/>
  <c r="C48" i="1" s="1"/>
  <c r="E48" i="1" s="1"/>
  <c r="F48" i="1" s="1"/>
  <c r="G48" i="1" s="1"/>
  <c r="B49" i="1"/>
  <c r="C49" i="1" s="1"/>
  <c r="E49" i="1" s="1"/>
  <c r="F49" i="1" s="1"/>
  <c r="G49" i="1" s="1"/>
  <c r="B50" i="1"/>
  <c r="C50" i="1" s="1"/>
  <c r="E50" i="1" s="1"/>
  <c r="F50" i="1" s="1"/>
  <c r="G50" i="1" s="1"/>
  <c r="B51" i="1"/>
  <c r="C51" i="1" s="1"/>
  <c r="E51" i="1" s="1"/>
  <c r="F51" i="1" s="1"/>
  <c r="G51" i="1" s="1"/>
  <c r="B52" i="1"/>
  <c r="C52" i="1" s="1"/>
  <c r="E52" i="1" s="1"/>
  <c r="F52" i="1" s="1"/>
  <c r="G52" i="1" s="1"/>
  <c r="B53" i="1"/>
  <c r="C53" i="1" s="1"/>
  <c r="E53" i="1" s="1"/>
  <c r="F53" i="1" s="1"/>
  <c r="G53" i="1" s="1"/>
  <c r="B54" i="1"/>
  <c r="C54" i="1" s="1"/>
  <c r="E54" i="1" s="1"/>
  <c r="F54" i="1" s="1"/>
  <c r="G54" i="1" s="1"/>
  <c r="B55" i="1"/>
  <c r="C55" i="1" s="1"/>
  <c r="E55" i="1" s="1"/>
  <c r="F55" i="1" s="1"/>
  <c r="G55" i="1" s="1"/>
  <c r="B56" i="1"/>
  <c r="C56" i="1" s="1"/>
  <c r="E56" i="1" s="1"/>
  <c r="F56" i="1" s="1"/>
  <c r="G56" i="1" s="1"/>
  <c r="B57" i="1"/>
  <c r="C57" i="1" s="1"/>
  <c r="E57" i="1" s="1"/>
  <c r="F57" i="1" s="1"/>
  <c r="G57" i="1" s="1"/>
  <c r="B58" i="1"/>
  <c r="C58" i="1" s="1"/>
  <c r="E58" i="1" s="1"/>
  <c r="F58" i="1" s="1"/>
  <c r="G58" i="1" s="1"/>
  <c r="B59" i="1"/>
  <c r="C59" i="1" s="1"/>
  <c r="E59" i="1" s="1"/>
  <c r="F59" i="1" s="1"/>
  <c r="G59" i="1" s="1"/>
  <c r="B60" i="1"/>
  <c r="C60" i="1" s="1"/>
  <c r="E60" i="1" s="1"/>
  <c r="F60" i="1" s="1"/>
  <c r="G60" i="1" s="1"/>
  <c r="B2" i="1"/>
  <c r="C2" i="1" s="1"/>
  <c r="E2" i="1" s="1"/>
  <c r="F2" i="1" s="1"/>
  <c r="G2" i="1" s="1"/>
  <c r="R3" i="1" l="1"/>
  <c r="T3" i="1" s="1"/>
  <c r="S3" i="1"/>
  <c r="Q26" i="1"/>
  <c r="R26" i="1"/>
  <c r="M4" i="1"/>
  <c r="M7" i="1" s="1"/>
  <c r="S26" i="1"/>
  <c r="Q19" i="1"/>
  <c r="R19" i="1"/>
  <c r="S19" i="1"/>
  <c r="N20" i="1"/>
  <c r="N23" i="1" s="1"/>
  <c r="M23" i="1"/>
  <c r="M27" i="1"/>
  <c r="M12" i="1"/>
  <c r="L23" i="1"/>
  <c r="D2" i="1"/>
  <c r="D49" i="1"/>
  <c r="D37" i="1"/>
  <c r="D25" i="1"/>
  <c r="D13" i="1"/>
  <c r="D60" i="1"/>
  <c r="D48" i="1"/>
  <c r="D36" i="1"/>
  <c r="D24" i="1"/>
  <c r="D12" i="1"/>
  <c r="D59" i="1"/>
  <c r="D47" i="1"/>
  <c r="D35" i="1"/>
  <c r="D23" i="1"/>
  <c r="D11" i="1"/>
  <c r="D58" i="1"/>
  <c r="D46" i="1"/>
  <c r="D34" i="1"/>
  <c r="D22" i="1"/>
  <c r="D10" i="1"/>
  <c r="D57" i="1"/>
  <c r="D45" i="1"/>
  <c r="D33" i="1"/>
  <c r="D21" i="1"/>
  <c r="D9" i="1"/>
  <c r="D56" i="1"/>
  <c r="D44" i="1"/>
  <c r="D32" i="1"/>
  <c r="D20" i="1"/>
  <c r="D8" i="1"/>
  <c r="D55" i="1"/>
  <c r="D43" i="1"/>
  <c r="D31" i="1"/>
  <c r="D19" i="1"/>
  <c r="D7" i="1"/>
  <c r="D54" i="1"/>
  <c r="D42" i="1"/>
  <c r="D30" i="1"/>
  <c r="D18" i="1"/>
  <c r="D6" i="1"/>
  <c r="D53" i="1"/>
  <c r="D41" i="1"/>
  <c r="D29" i="1"/>
  <c r="D17" i="1"/>
  <c r="D5" i="1"/>
  <c r="D52" i="1"/>
  <c r="D40" i="1"/>
  <c r="D28" i="1"/>
  <c r="D16" i="1"/>
  <c r="D4" i="1"/>
  <c r="D51" i="1"/>
  <c r="D39" i="1"/>
  <c r="D27" i="1"/>
  <c r="D15" i="1"/>
  <c r="D3" i="1"/>
  <c r="D50" i="1"/>
  <c r="D38" i="1"/>
  <c r="D26" i="1"/>
  <c r="D14" i="1"/>
  <c r="T19" i="1" l="1"/>
  <c r="N4" i="1"/>
  <c r="N7" i="1" s="1"/>
  <c r="T26" i="1"/>
  <c r="N12" i="1"/>
  <c r="N14" i="1" s="1"/>
  <c r="M14" i="1"/>
  <c r="M30" i="1"/>
  <c r="N27" i="1"/>
  <c r="N30" i="1" s="1"/>
</calcChain>
</file>

<file path=xl/sharedStrings.xml><?xml version="1.0" encoding="utf-8"?>
<sst xmlns="http://schemas.openxmlformats.org/spreadsheetml/2006/main" count="29" uniqueCount="23">
  <si>
    <t>Mins</t>
  </si>
  <si>
    <t>Hours</t>
  </si>
  <si>
    <t>Rounded Hours</t>
  </si>
  <si>
    <t>Reconstructed Hours</t>
  </si>
  <si>
    <t>Reconstructed Mins</t>
  </si>
  <si>
    <t>Match</t>
  </si>
  <si>
    <t>Rounding Interval</t>
  </si>
  <si>
    <t>Mins. With no rounding</t>
  </si>
  <si>
    <t>Mins. With rounding</t>
  </si>
  <si>
    <t>Ex:1</t>
  </si>
  <si>
    <t>Ex:2</t>
  </si>
  <si>
    <t>Ex:3</t>
  </si>
  <si>
    <t>Ex:4</t>
  </si>
  <si>
    <t>Option A — Minutes are the source of truth</t>
  </si>
  <si>
    <t>✅ Actual worked time is preserved exactly.</t>
  </si>
  <si>
    <t>✅ Payroll calculations are based on whole minutes.</t>
  </si>
  <si>
    <t>⚠ Displayed department hours may need a display reconciliation step to make them add to the original displayed total.</t>
  </si>
  <si>
    <t>Option B — 2-decimal hours are the source of truth</t>
  </si>
  <si>
    <t>✅ Displayed totals always add exactly.</t>
  </si>
  <si>
    <t>✅ Simpler allocation (work in hundredths of an hour).</t>
  </si>
  <si>
    <t>⚠ You are no longer preserving the underlying minute-based time; you're preserving the rounded hour values.</t>
  </si>
  <si>
    <t>INPUT:
    Rounded Hours (e.g., 8.27)
    Department Percentages
STEP 1:
    Separate whole hours and fractional hours.
STEP 2:
    Reconstruct total minutes.
    TOTAL_MINUTES =
        (WHOLE_HOURS × 60)
      + ROUND(FRACTIONAL_HOURS × 60)
STEP 3:
    For each department:
        EXACT_MINUTES =
            TOTAL_MINUTES × PERCENTAGE
        BASE_MINUTES =
            INTEGER(EXACT_MINUTES)
        REMAINDER =
            EXACT_MINUTES - BASE_MINUTES
STEP 4:
    LEFTOVER =
        TOTAL_MINUTES
      - SUM(BASE_MINUTES)
STEP 5:
    While LEFTOVER &gt; 0
        Give one minute to the department
        with the largest REMAINDER.
        LEFTOVER = LEFTOVER - 1
STEP 6:
    Convert allocated minutes to exact hours.
STEP 7:
    Round each department to two decimals
    for display.
STEP 8:
    Compare
        SUM(DISPLAY HOURS)
    with
        ORIGINAL INPUT HOURS
STEP 9:
    If different
        Adjust one or more department
        display values by ±0.01 hour
        so that
        DISPLAY TOTAL =
        ORIGINAL INPUT.
OUTPUT
    Allocated Minutes
    Exact Hours
    Display Hours</t>
  </si>
  <si>
    <t>INPUT
    Payroll Hours (2 decimals)
    Department Percentages
STEP 1
    Convert hours to integer
    hundredths of an hour.
    TOTAL_UNITS =
        HOURS × 100
STEP 2
    For each department
        EXACT_UNITS =
            TOTAL_UNITS × PERCENTAGE
        BASE_UNITS =
            INTEGER(EXACT_UNITS)
        REMAINDER =
            EXACT_UNITS
            - BASE_UNITS
STEP 3
    LEFTOVER =
        TOTAL_UNITS
        - SUM(BASE_UNITS)
STEP 4
    While LEFTOVER &gt; 0
        Give one unit
        (0.01 hour)
        to department having
        largest REMAINDER.
STEP 5
    FINAL_HOURS =
        BASE_UNITS / 100
OUTPUT
    Department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</si>
</sst>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NumberFormat="1" applyFont="1"/>
    <xf numFmtId="0" fontId="2" fillId="0" borderId="0" xfId="0" applyFont="1"/>
    <xf numFmtId="9" fontId="2" fillId="0" borderId="0" xfId="0" applyNumberFormat="1" applyFont="1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5769-6790-4020-AB45-4C494324CDC7}">
  <dimension ref="A1:U92"/>
  <sheetViews>
    <sheetView workbookViewId="0">
      <selection activeCell="A64" sqref="A64:L92"/>
    </sheetView>
  </sheetViews>
  <sheetFormatPr defaultRowHeight="15" x14ac:dyDescent="0.25"/>
  <cols>
    <col min="1" max="1" width="5.42578125" bestFit="1" customWidth="1"/>
    <col min="2" max="2" width="12" bestFit="1" customWidth="1"/>
    <col min="3" max="3" width="14.7109375" bestFit="1" customWidth="1"/>
    <col min="4" max="4" width="18.85546875" bestFit="1" customWidth="1"/>
    <col min="5" max="5" width="18.85546875" customWidth="1"/>
    <col min="6" max="6" width="19.5703125" bestFit="1" customWidth="1"/>
    <col min="7" max="7" width="6.5703125" bestFit="1" customWidth="1"/>
    <col min="8" max="10" width="8" bestFit="1" customWidth="1"/>
    <col min="11" max="11" width="4.5703125" bestFit="1" customWidth="1"/>
    <col min="12" max="12" width="22.140625" bestFit="1" customWidth="1"/>
    <col min="13" max="13" width="12" bestFit="1" customWidth="1"/>
    <col min="14" max="14" width="5" bestFit="1" customWidth="1"/>
    <col min="17" max="17" width="9" bestFit="1" customWidth="1"/>
    <col min="18" max="20" width="12" bestFit="1" customWidth="1"/>
    <col min="21" max="21" width="22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4</v>
      </c>
      <c r="F1" s="1" t="s">
        <v>3</v>
      </c>
      <c r="G1" s="1" t="s">
        <v>5</v>
      </c>
    </row>
    <row r="2" spans="1:21" x14ac:dyDescent="0.25">
      <c r="A2">
        <v>1</v>
      </c>
      <c r="B2">
        <f>A2/60</f>
        <v>1.6666666666666666E-2</v>
      </c>
      <c r="C2">
        <f>ROUND(B2,2)</f>
        <v>0.02</v>
      </c>
      <c r="D2" t="str">
        <f>"[" &amp; TEXT(C2-0.005,"0.000000") &amp; ", " &amp; TEXT(C2+0.005,"0.000000") &amp; "]"</f>
        <v>[0.015000, 0.025000]</v>
      </c>
      <c r="E2">
        <f t="shared" ref="E2:E33" si="0">ROUND(C2*60,0)</f>
        <v>1</v>
      </c>
      <c r="F2">
        <f>E2/60</f>
        <v>1.6666666666666666E-2</v>
      </c>
      <c r="G2" t="b">
        <f t="shared" ref="G2:G33" si="1">IF(B2=F2,TRUE,FALSE)</f>
        <v>1</v>
      </c>
      <c r="K2" s="6" t="s">
        <v>9</v>
      </c>
      <c r="L2" s="2">
        <v>496</v>
      </c>
      <c r="M2" s="3">
        <f>L2/60</f>
        <v>8.2666666666666675</v>
      </c>
      <c r="N2" s="4">
        <v>8.27</v>
      </c>
      <c r="Q2" s="5">
        <v>0.45</v>
      </c>
      <c r="R2" s="5">
        <v>0.35</v>
      </c>
      <c r="S2" s="5">
        <v>0.2</v>
      </c>
    </row>
    <row r="3" spans="1:21" x14ac:dyDescent="0.25">
      <c r="A3">
        <v>2</v>
      </c>
      <c r="B3">
        <f t="shared" ref="B3:B60" si="2">A3/60</f>
        <v>3.3333333333333333E-2</v>
      </c>
      <c r="C3">
        <f t="shared" ref="C3:C60" si="3">ROUND(B3,2)</f>
        <v>0.03</v>
      </c>
      <c r="D3" t="str">
        <f t="shared" ref="D3:D60" si="4">"[" &amp; TEXT(C3-0.005,"0.000000") &amp; ", " &amp; TEXT(C3+0.005,"0.000000") &amp; "]"</f>
        <v>[0.025000, 0.035000]</v>
      </c>
      <c r="E3">
        <f t="shared" si="0"/>
        <v>2</v>
      </c>
      <c r="F3">
        <f t="shared" ref="F3:F60" si="5">E3/60</f>
        <v>3.3333333333333333E-2</v>
      </c>
      <c r="G3" t="b">
        <f t="shared" si="1"/>
        <v>1</v>
      </c>
      <c r="Q3">
        <f>$B2*Q2</f>
        <v>7.4999999999999997E-3</v>
      </c>
      <c r="R3">
        <f>$B2*R2</f>
        <v>5.8333333333333327E-3</v>
      </c>
      <c r="S3">
        <f>$B2*S2</f>
        <v>3.3333333333333335E-3</v>
      </c>
      <c r="T3">
        <f>SUM(Q3:S3)</f>
        <v>1.6666666666666666E-2</v>
      </c>
      <c r="U3" t="s">
        <v>7</v>
      </c>
    </row>
    <row r="4" spans="1:21" x14ac:dyDescent="0.25">
      <c r="A4">
        <v>3</v>
      </c>
      <c r="B4">
        <f t="shared" si="2"/>
        <v>0.05</v>
      </c>
      <c r="C4">
        <f t="shared" si="3"/>
        <v>0.05</v>
      </c>
      <c r="D4" t="str">
        <f t="shared" si="4"/>
        <v>[0.045000, 0.055000]</v>
      </c>
      <c r="E4">
        <f t="shared" si="0"/>
        <v>3</v>
      </c>
      <c r="F4">
        <f t="shared" si="5"/>
        <v>0.05</v>
      </c>
      <c r="G4" t="b">
        <f t="shared" si="1"/>
        <v>1</v>
      </c>
      <c r="L4">
        <f>Q4</f>
        <v>223</v>
      </c>
      <c r="M4">
        <f>L4/60</f>
        <v>3.7166666666666668</v>
      </c>
      <c r="N4">
        <f>ROUND(M4,2)</f>
        <v>3.72</v>
      </c>
      <c r="Q4">
        <v>223</v>
      </c>
      <c r="R4">
        <v>174</v>
      </c>
      <c r="S4">
        <v>99</v>
      </c>
      <c r="T4">
        <f>SUM(Q4:S4)</f>
        <v>496</v>
      </c>
      <c r="U4" t="s">
        <v>8</v>
      </c>
    </row>
    <row r="5" spans="1:21" x14ac:dyDescent="0.25">
      <c r="A5">
        <v>4</v>
      </c>
      <c r="B5">
        <f t="shared" si="2"/>
        <v>6.6666666666666666E-2</v>
      </c>
      <c r="C5">
        <f t="shared" si="3"/>
        <v>7.0000000000000007E-2</v>
      </c>
      <c r="D5" t="str">
        <f t="shared" si="4"/>
        <v>[0.065000, 0.075000]</v>
      </c>
      <c r="E5">
        <f t="shared" si="0"/>
        <v>4</v>
      </c>
      <c r="F5">
        <f t="shared" si="5"/>
        <v>6.6666666666666666E-2</v>
      </c>
      <c r="G5" t="b">
        <f t="shared" si="1"/>
        <v>1</v>
      </c>
      <c r="L5">
        <f>R4</f>
        <v>174</v>
      </c>
      <c r="M5">
        <f t="shared" ref="M5:M6" si="6">L5/60</f>
        <v>2.9</v>
      </c>
      <c r="N5">
        <f t="shared" ref="N5:N6" si="7">ROUND(M5,2)</f>
        <v>2.9</v>
      </c>
    </row>
    <row r="6" spans="1:21" x14ac:dyDescent="0.25">
      <c r="A6">
        <v>5</v>
      </c>
      <c r="B6">
        <f t="shared" si="2"/>
        <v>8.3333333333333329E-2</v>
      </c>
      <c r="C6">
        <f t="shared" si="3"/>
        <v>0.08</v>
      </c>
      <c r="D6" t="str">
        <f t="shared" si="4"/>
        <v>[0.075000, 0.085000]</v>
      </c>
      <c r="E6">
        <f t="shared" si="0"/>
        <v>5</v>
      </c>
      <c r="F6">
        <f t="shared" si="5"/>
        <v>8.3333333333333329E-2</v>
      </c>
      <c r="G6" t="b">
        <f t="shared" si="1"/>
        <v>1</v>
      </c>
      <c r="L6">
        <f>S4</f>
        <v>99</v>
      </c>
      <c r="M6">
        <f t="shared" si="6"/>
        <v>1.65</v>
      </c>
      <c r="N6">
        <f t="shared" si="7"/>
        <v>1.65</v>
      </c>
    </row>
    <row r="7" spans="1:21" x14ac:dyDescent="0.25">
      <c r="A7">
        <v>6</v>
      </c>
      <c r="B7">
        <f t="shared" si="2"/>
        <v>0.1</v>
      </c>
      <c r="C7">
        <f t="shared" si="3"/>
        <v>0.1</v>
      </c>
      <c r="D7" t="str">
        <f t="shared" si="4"/>
        <v>[0.095000, 0.105000]</v>
      </c>
      <c r="E7">
        <f t="shared" si="0"/>
        <v>6</v>
      </c>
      <c r="F7">
        <f t="shared" si="5"/>
        <v>0.1</v>
      </c>
      <c r="G7" t="b">
        <f t="shared" si="1"/>
        <v>1</v>
      </c>
      <c r="L7" s="1">
        <f>SUM(L4:L6)</f>
        <v>496</v>
      </c>
      <c r="M7" s="1">
        <f>SUM(M4:M6)</f>
        <v>8.2666666666666675</v>
      </c>
      <c r="N7" s="1">
        <f>SUM(N4:N6)</f>
        <v>8.27</v>
      </c>
    </row>
    <row r="8" spans="1:21" x14ac:dyDescent="0.25">
      <c r="A8">
        <v>7</v>
      </c>
      <c r="B8">
        <f t="shared" si="2"/>
        <v>0.11666666666666667</v>
      </c>
      <c r="C8">
        <f t="shared" si="3"/>
        <v>0.12</v>
      </c>
      <c r="D8" t="str">
        <f t="shared" si="4"/>
        <v>[0.115000, 0.125000]</v>
      </c>
      <c r="E8">
        <f t="shared" si="0"/>
        <v>7</v>
      </c>
      <c r="F8">
        <f t="shared" si="5"/>
        <v>0.11666666666666667</v>
      </c>
      <c r="G8" t="b">
        <f t="shared" si="1"/>
        <v>1</v>
      </c>
    </row>
    <row r="9" spans="1:21" x14ac:dyDescent="0.25">
      <c r="A9">
        <v>8</v>
      </c>
      <c r="B9">
        <f t="shared" si="2"/>
        <v>0.13333333333333333</v>
      </c>
      <c r="C9">
        <f t="shared" si="3"/>
        <v>0.13</v>
      </c>
      <c r="D9" t="str">
        <f t="shared" si="4"/>
        <v>[0.125000, 0.135000]</v>
      </c>
      <c r="E9">
        <f t="shared" si="0"/>
        <v>8</v>
      </c>
      <c r="F9">
        <f t="shared" si="5"/>
        <v>0.13333333333333333</v>
      </c>
      <c r="G9" t="b">
        <f t="shared" si="1"/>
        <v>1</v>
      </c>
    </row>
    <row r="10" spans="1:21" x14ac:dyDescent="0.25">
      <c r="A10">
        <v>9</v>
      </c>
      <c r="B10">
        <f t="shared" si="2"/>
        <v>0.15</v>
      </c>
      <c r="C10">
        <f t="shared" si="3"/>
        <v>0.15</v>
      </c>
      <c r="D10" t="str">
        <f t="shared" si="4"/>
        <v>[0.145000, 0.155000]</v>
      </c>
      <c r="E10">
        <f t="shared" si="0"/>
        <v>9</v>
      </c>
      <c r="F10">
        <f t="shared" si="5"/>
        <v>0.15</v>
      </c>
      <c r="G10" t="b">
        <f t="shared" si="1"/>
        <v>1</v>
      </c>
      <c r="K10" s="6" t="s">
        <v>10</v>
      </c>
      <c r="L10" s="2">
        <v>65</v>
      </c>
      <c r="M10" s="3">
        <f>L10/60</f>
        <v>1.0833333333333333</v>
      </c>
      <c r="N10" s="4">
        <v>1.08</v>
      </c>
      <c r="Q10" s="5">
        <v>0.5</v>
      </c>
      <c r="R10" s="5">
        <v>0.5</v>
      </c>
      <c r="S10" s="5"/>
    </row>
    <row r="11" spans="1:21" x14ac:dyDescent="0.25">
      <c r="A11">
        <v>10</v>
      </c>
      <c r="B11">
        <f t="shared" si="2"/>
        <v>0.16666666666666666</v>
      </c>
      <c r="C11">
        <f t="shared" si="3"/>
        <v>0.17</v>
      </c>
      <c r="D11" t="str">
        <f t="shared" si="4"/>
        <v>[0.165000, 0.175000]</v>
      </c>
      <c r="E11">
        <f t="shared" si="0"/>
        <v>10</v>
      </c>
      <c r="F11">
        <f t="shared" si="5"/>
        <v>0.16666666666666666</v>
      </c>
      <c r="G11" t="b">
        <f t="shared" si="1"/>
        <v>1</v>
      </c>
      <c r="Q11">
        <f>$B10*Q10</f>
        <v>7.4999999999999997E-2</v>
      </c>
      <c r="R11">
        <f>$B10*R10</f>
        <v>7.4999999999999997E-2</v>
      </c>
      <c r="T11">
        <f>SUM(Q11:S11)</f>
        <v>0.15</v>
      </c>
      <c r="U11" t="s">
        <v>7</v>
      </c>
    </row>
    <row r="12" spans="1:21" x14ac:dyDescent="0.25">
      <c r="A12">
        <v>11</v>
      </c>
      <c r="B12">
        <f t="shared" si="2"/>
        <v>0.18333333333333332</v>
      </c>
      <c r="C12">
        <f t="shared" si="3"/>
        <v>0.18</v>
      </c>
      <c r="D12" t="str">
        <f t="shared" si="4"/>
        <v>[0.175000, 0.185000]</v>
      </c>
      <c r="E12">
        <f t="shared" si="0"/>
        <v>11</v>
      </c>
      <c r="F12">
        <f t="shared" si="5"/>
        <v>0.18333333333333332</v>
      </c>
      <c r="G12" t="b">
        <f t="shared" si="1"/>
        <v>1</v>
      </c>
      <c r="L12">
        <f>Q12</f>
        <v>33</v>
      </c>
      <c r="M12">
        <f>L12/60</f>
        <v>0.55000000000000004</v>
      </c>
      <c r="N12">
        <f>ROUND(M12,20)</f>
        <v>0.55000000000000004</v>
      </c>
      <c r="Q12">
        <v>33</v>
      </c>
      <c r="R12">
        <v>32</v>
      </c>
      <c r="T12">
        <f>SUM(Q12:S12)</f>
        <v>65</v>
      </c>
      <c r="U12" t="s">
        <v>8</v>
      </c>
    </row>
    <row r="13" spans="1:21" x14ac:dyDescent="0.25">
      <c r="A13">
        <v>12</v>
      </c>
      <c r="B13">
        <f t="shared" si="2"/>
        <v>0.2</v>
      </c>
      <c r="C13">
        <f t="shared" si="3"/>
        <v>0.2</v>
      </c>
      <c r="D13" t="str">
        <f t="shared" si="4"/>
        <v>[0.195000, 0.205000]</v>
      </c>
      <c r="E13">
        <f t="shared" si="0"/>
        <v>12</v>
      </c>
      <c r="F13">
        <f t="shared" si="5"/>
        <v>0.2</v>
      </c>
      <c r="G13" t="b">
        <f t="shared" si="1"/>
        <v>1</v>
      </c>
      <c r="L13">
        <f>R12</f>
        <v>32</v>
      </c>
      <c r="M13">
        <f t="shared" ref="M13" si="8">L13/60</f>
        <v>0.53333333333333333</v>
      </c>
      <c r="N13">
        <f>ROUND(M13,2)</f>
        <v>0.53</v>
      </c>
    </row>
    <row r="14" spans="1:21" x14ac:dyDescent="0.25">
      <c r="A14">
        <v>13</v>
      </c>
      <c r="B14">
        <f t="shared" si="2"/>
        <v>0.21666666666666667</v>
      </c>
      <c r="C14">
        <f t="shared" si="3"/>
        <v>0.22</v>
      </c>
      <c r="D14" t="str">
        <f t="shared" si="4"/>
        <v>[0.215000, 0.225000]</v>
      </c>
      <c r="E14">
        <f t="shared" si="0"/>
        <v>13</v>
      </c>
      <c r="F14">
        <f t="shared" si="5"/>
        <v>0.21666666666666667</v>
      </c>
      <c r="G14" t="b">
        <f t="shared" si="1"/>
        <v>1</v>
      </c>
      <c r="L14" s="1">
        <f>SUM(L12:L13)</f>
        <v>65</v>
      </c>
      <c r="M14" s="1">
        <f>SUM(M12:M13)</f>
        <v>1.0833333333333335</v>
      </c>
      <c r="N14" s="1">
        <f>SUM(N12:N13)</f>
        <v>1.08</v>
      </c>
    </row>
    <row r="15" spans="1:21" x14ac:dyDescent="0.25">
      <c r="A15">
        <v>14</v>
      </c>
      <c r="B15">
        <f t="shared" si="2"/>
        <v>0.23333333333333334</v>
      </c>
      <c r="C15">
        <f t="shared" si="3"/>
        <v>0.23</v>
      </c>
      <c r="D15" t="str">
        <f t="shared" si="4"/>
        <v>[0.225000, 0.235000]</v>
      </c>
      <c r="E15">
        <f t="shared" si="0"/>
        <v>14</v>
      </c>
      <c r="F15">
        <f t="shared" si="5"/>
        <v>0.23333333333333334</v>
      </c>
      <c r="G15" t="b">
        <f t="shared" si="1"/>
        <v>1</v>
      </c>
    </row>
    <row r="16" spans="1:21" x14ac:dyDescent="0.25">
      <c r="A16">
        <v>15</v>
      </c>
      <c r="B16">
        <f t="shared" si="2"/>
        <v>0.25</v>
      </c>
      <c r="C16">
        <f t="shared" si="3"/>
        <v>0.25</v>
      </c>
      <c r="D16" t="str">
        <f t="shared" si="4"/>
        <v>[0.245000, 0.255000]</v>
      </c>
      <c r="E16">
        <f t="shared" si="0"/>
        <v>15</v>
      </c>
      <c r="F16">
        <f t="shared" si="5"/>
        <v>0.25</v>
      </c>
      <c r="G16" t="b">
        <f t="shared" si="1"/>
        <v>1</v>
      </c>
    </row>
    <row r="17" spans="1:21" x14ac:dyDescent="0.25">
      <c r="A17">
        <v>16</v>
      </c>
      <c r="B17">
        <f t="shared" si="2"/>
        <v>0.26666666666666666</v>
      </c>
      <c r="C17">
        <f t="shared" si="3"/>
        <v>0.27</v>
      </c>
      <c r="D17" t="str">
        <f t="shared" si="4"/>
        <v>[0.265000, 0.275000]</v>
      </c>
      <c r="E17">
        <f t="shared" si="0"/>
        <v>16</v>
      </c>
      <c r="F17">
        <f t="shared" si="5"/>
        <v>0.26666666666666666</v>
      </c>
      <c r="G17" t="b">
        <f t="shared" si="1"/>
        <v>1</v>
      </c>
    </row>
    <row r="18" spans="1:21" x14ac:dyDescent="0.25">
      <c r="A18">
        <v>17</v>
      </c>
      <c r="B18">
        <f t="shared" si="2"/>
        <v>0.28333333333333333</v>
      </c>
      <c r="C18">
        <f t="shared" si="3"/>
        <v>0.28000000000000003</v>
      </c>
      <c r="D18" t="str">
        <f t="shared" si="4"/>
        <v>[0.275000, 0.285000]</v>
      </c>
      <c r="E18">
        <f t="shared" si="0"/>
        <v>17</v>
      </c>
      <c r="F18">
        <f t="shared" si="5"/>
        <v>0.28333333333333333</v>
      </c>
      <c r="G18" t="b">
        <f t="shared" si="1"/>
        <v>1</v>
      </c>
      <c r="K18" s="6" t="s">
        <v>11</v>
      </c>
      <c r="L18" s="2">
        <v>66</v>
      </c>
      <c r="M18" s="3">
        <f>L18/60</f>
        <v>1.1000000000000001</v>
      </c>
      <c r="N18" s="4">
        <v>1.1000000000000001</v>
      </c>
      <c r="Q18" s="5">
        <v>0.33329999999999999</v>
      </c>
      <c r="R18" s="5">
        <v>0.33329999999999999</v>
      </c>
      <c r="S18" s="5">
        <v>0.33339999999999997</v>
      </c>
    </row>
    <row r="19" spans="1:21" x14ac:dyDescent="0.25">
      <c r="A19">
        <v>18</v>
      </c>
      <c r="B19">
        <f t="shared" si="2"/>
        <v>0.3</v>
      </c>
      <c r="C19">
        <f t="shared" si="3"/>
        <v>0.3</v>
      </c>
      <c r="D19" t="str">
        <f t="shared" si="4"/>
        <v>[0.295000, 0.305000]</v>
      </c>
      <c r="E19">
        <f t="shared" si="0"/>
        <v>18</v>
      </c>
      <c r="F19">
        <f t="shared" si="5"/>
        <v>0.3</v>
      </c>
      <c r="G19" t="b">
        <f t="shared" si="1"/>
        <v>1</v>
      </c>
      <c r="Q19">
        <f>$B18*Q18</f>
        <v>9.4434999999999991E-2</v>
      </c>
      <c r="R19">
        <f>$B18*R18</f>
        <v>9.4434999999999991E-2</v>
      </c>
      <c r="S19">
        <f>$B18*S18</f>
        <v>9.446333333333333E-2</v>
      </c>
      <c r="T19">
        <f>SUM(Q19:S19)</f>
        <v>0.28333333333333333</v>
      </c>
      <c r="U19" t="s">
        <v>7</v>
      </c>
    </row>
    <row r="20" spans="1:21" x14ac:dyDescent="0.25">
      <c r="A20">
        <v>19</v>
      </c>
      <c r="B20">
        <f t="shared" si="2"/>
        <v>0.31666666666666665</v>
      </c>
      <c r="C20">
        <f t="shared" si="3"/>
        <v>0.32</v>
      </c>
      <c r="D20" t="str">
        <f t="shared" si="4"/>
        <v>[0.315000, 0.325000]</v>
      </c>
      <c r="E20">
        <f t="shared" si="0"/>
        <v>19</v>
      </c>
      <c r="F20">
        <f t="shared" si="5"/>
        <v>0.31666666666666665</v>
      </c>
      <c r="G20" t="b">
        <f t="shared" si="1"/>
        <v>1</v>
      </c>
      <c r="L20">
        <f>Q20</f>
        <v>30</v>
      </c>
      <c r="M20">
        <f>L20/60</f>
        <v>0.5</v>
      </c>
      <c r="N20">
        <f>ROUND(M20,2)</f>
        <v>0.5</v>
      </c>
      <c r="Q20">
        <v>30</v>
      </c>
      <c r="R20">
        <v>23</v>
      </c>
      <c r="S20">
        <v>13</v>
      </c>
      <c r="T20">
        <f>SUM(Q20:S20)</f>
        <v>66</v>
      </c>
      <c r="U20" t="s">
        <v>8</v>
      </c>
    </row>
    <row r="21" spans="1:21" x14ac:dyDescent="0.25">
      <c r="A21">
        <v>20</v>
      </c>
      <c r="B21">
        <f t="shared" si="2"/>
        <v>0.33333333333333331</v>
      </c>
      <c r="C21">
        <f t="shared" si="3"/>
        <v>0.33</v>
      </c>
      <c r="D21" t="str">
        <f t="shared" si="4"/>
        <v>[0.325000, 0.335000]</v>
      </c>
      <c r="E21">
        <f t="shared" si="0"/>
        <v>20</v>
      </c>
      <c r="F21">
        <f t="shared" si="5"/>
        <v>0.33333333333333331</v>
      </c>
      <c r="G21" t="b">
        <f t="shared" si="1"/>
        <v>1</v>
      </c>
      <c r="L21">
        <f>R20</f>
        <v>23</v>
      </c>
      <c r="M21">
        <f t="shared" ref="M21:M22" si="9">L21/60</f>
        <v>0.38333333333333336</v>
      </c>
      <c r="N21">
        <f t="shared" ref="N21:N22" si="10">ROUND(M21,2)</f>
        <v>0.38</v>
      </c>
    </row>
    <row r="22" spans="1:21" x14ac:dyDescent="0.25">
      <c r="A22">
        <v>21</v>
      </c>
      <c r="B22">
        <f t="shared" si="2"/>
        <v>0.35</v>
      </c>
      <c r="C22">
        <f t="shared" si="3"/>
        <v>0.35</v>
      </c>
      <c r="D22" t="str">
        <f t="shared" si="4"/>
        <v>[0.345000, 0.355000]</v>
      </c>
      <c r="E22">
        <f t="shared" si="0"/>
        <v>21</v>
      </c>
      <c r="F22">
        <f t="shared" si="5"/>
        <v>0.35</v>
      </c>
      <c r="G22" t="b">
        <f t="shared" si="1"/>
        <v>1</v>
      </c>
      <c r="L22">
        <f>S20</f>
        <v>13</v>
      </c>
      <c r="M22">
        <f t="shared" si="9"/>
        <v>0.21666666666666667</v>
      </c>
      <c r="N22">
        <f t="shared" si="10"/>
        <v>0.22</v>
      </c>
    </row>
    <row r="23" spans="1:21" x14ac:dyDescent="0.25">
      <c r="A23">
        <v>22</v>
      </c>
      <c r="B23">
        <f t="shared" si="2"/>
        <v>0.36666666666666664</v>
      </c>
      <c r="C23">
        <f t="shared" si="3"/>
        <v>0.37</v>
      </c>
      <c r="D23" t="str">
        <f t="shared" si="4"/>
        <v>[0.365000, 0.375000]</v>
      </c>
      <c r="E23">
        <f t="shared" si="0"/>
        <v>22</v>
      </c>
      <c r="F23">
        <f t="shared" si="5"/>
        <v>0.36666666666666664</v>
      </c>
      <c r="G23" t="b">
        <f t="shared" si="1"/>
        <v>1</v>
      </c>
      <c r="L23" s="1">
        <f>SUM(L20:L22)</f>
        <v>66</v>
      </c>
      <c r="M23" s="1">
        <f>SUM(M20:M22)</f>
        <v>1.1000000000000001</v>
      </c>
      <c r="N23" s="1">
        <f>SUM(N20:N22)</f>
        <v>1.1000000000000001</v>
      </c>
    </row>
    <row r="24" spans="1:21" x14ac:dyDescent="0.25">
      <c r="A24">
        <v>23</v>
      </c>
      <c r="B24">
        <f t="shared" si="2"/>
        <v>0.38333333333333336</v>
      </c>
      <c r="C24">
        <f t="shared" si="3"/>
        <v>0.38</v>
      </c>
      <c r="D24" t="str">
        <f t="shared" si="4"/>
        <v>[0.375000, 0.385000]</v>
      </c>
      <c r="E24">
        <f t="shared" si="0"/>
        <v>23</v>
      </c>
      <c r="F24">
        <f t="shared" si="5"/>
        <v>0.38333333333333336</v>
      </c>
      <c r="G24" t="b">
        <f t="shared" si="1"/>
        <v>1</v>
      </c>
    </row>
    <row r="25" spans="1:21" x14ac:dyDescent="0.25">
      <c r="A25">
        <v>24</v>
      </c>
      <c r="B25">
        <f t="shared" si="2"/>
        <v>0.4</v>
      </c>
      <c r="C25">
        <f t="shared" si="3"/>
        <v>0.4</v>
      </c>
      <c r="D25" t="str">
        <f t="shared" si="4"/>
        <v>[0.395000, 0.405000]</v>
      </c>
      <c r="E25">
        <f t="shared" si="0"/>
        <v>24</v>
      </c>
      <c r="F25">
        <f t="shared" si="5"/>
        <v>0.4</v>
      </c>
      <c r="G25" t="b">
        <f t="shared" si="1"/>
        <v>1</v>
      </c>
      <c r="K25" s="6" t="s">
        <v>12</v>
      </c>
      <c r="L25" s="2">
        <v>6</v>
      </c>
      <c r="M25" s="3">
        <f>L25/60</f>
        <v>0.1</v>
      </c>
      <c r="N25" s="4">
        <v>0.1</v>
      </c>
      <c r="Q25" s="5">
        <v>0.33329999999999999</v>
      </c>
      <c r="R25" s="5">
        <v>0.33329999999999999</v>
      </c>
      <c r="S25" s="5">
        <v>0.33339999999999997</v>
      </c>
    </row>
    <row r="26" spans="1:21" x14ac:dyDescent="0.25">
      <c r="A26">
        <v>25</v>
      </c>
      <c r="B26">
        <f t="shared" si="2"/>
        <v>0.41666666666666669</v>
      </c>
      <c r="C26">
        <f t="shared" si="3"/>
        <v>0.42</v>
      </c>
      <c r="D26" t="str">
        <f t="shared" si="4"/>
        <v>[0.415000, 0.425000]</v>
      </c>
      <c r="E26">
        <f t="shared" si="0"/>
        <v>25</v>
      </c>
      <c r="F26">
        <f t="shared" si="5"/>
        <v>0.41666666666666669</v>
      </c>
      <c r="G26" t="b">
        <f t="shared" si="1"/>
        <v>1</v>
      </c>
      <c r="Q26">
        <f>$B25*Q25</f>
        <v>0.13331999999999999</v>
      </c>
      <c r="R26">
        <f>$B25*R25</f>
        <v>0.13331999999999999</v>
      </c>
      <c r="S26">
        <f>$B25*S25</f>
        <v>0.13336000000000001</v>
      </c>
      <c r="T26">
        <f>SUM(Q26:S26)</f>
        <v>0.4</v>
      </c>
      <c r="U26" t="s">
        <v>7</v>
      </c>
    </row>
    <row r="27" spans="1:21" x14ac:dyDescent="0.25">
      <c r="A27">
        <v>26</v>
      </c>
      <c r="B27">
        <f t="shared" si="2"/>
        <v>0.43333333333333335</v>
      </c>
      <c r="C27">
        <f t="shared" si="3"/>
        <v>0.43</v>
      </c>
      <c r="D27" t="str">
        <f t="shared" si="4"/>
        <v>[0.425000, 0.435000]</v>
      </c>
      <c r="E27">
        <f t="shared" si="0"/>
        <v>26</v>
      </c>
      <c r="F27">
        <f t="shared" si="5"/>
        <v>0.43333333333333335</v>
      </c>
      <c r="G27" t="b">
        <f t="shared" si="1"/>
        <v>1</v>
      </c>
      <c r="L27">
        <f>Q27</f>
        <v>2</v>
      </c>
      <c r="M27">
        <f>L27/60</f>
        <v>3.3333333333333333E-2</v>
      </c>
      <c r="N27">
        <f>ROUND(M27,2)</f>
        <v>0.03</v>
      </c>
      <c r="Q27">
        <v>2</v>
      </c>
      <c r="R27">
        <v>2</v>
      </c>
      <c r="S27">
        <v>2</v>
      </c>
      <c r="T27">
        <f>SUM(Q27:S27)</f>
        <v>6</v>
      </c>
      <c r="U27" t="s">
        <v>8</v>
      </c>
    </row>
    <row r="28" spans="1:21" x14ac:dyDescent="0.25">
      <c r="A28">
        <v>27</v>
      </c>
      <c r="B28">
        <f t="shared" si="2"/>
        <v>0.45</v>
      </c>
      <c r="C28">
        <f t="shared" si="3"/>
        <v>0.45</v>
      </c>
      <c r="D28" t="str">
        <f t="shared" si="4"/>
        <v>[0.445000, 0.455000]</v>
      </c>
      <c r="E28">
        <f t="shared" si="0"/>
        <v>27</v>
      </c>
      <c r="F28">
        <f t="shared" si="5"/>
        <v>0.45</v>
      </c>
      <c r="G28" t="b">
        <f t="shared" si="1"/>
        <v>1</v>
      </c>
      <c r="L28">
        <f>R27</f>
        <v>2</v>
      </c>
      <c r="M28">
        <f t="shared" ref="M28:M29" si="11">L28/60</f>
        <v>3.3333333333333333E-2</v>
      </c>
      <c r="N28">
        <f t="shared" ref="N28:N29" si="12">ROUND(M28,2)</f>
        <v>0.03</v>
      </c>
    </row>
    <row r="29" spans="1:21" x14ac:dyDescent="0.25">
      <c r="A29">
        <v>28</v>
      </c>
      <c r="B29">
        <f t="shared" si="2"/>
        <v>0.46666666666666667</v>
      </c>
      <c r="C29">
        <f t="shared" si="3"/>
        <v>0.47</v>
      </c>
      <c r="D29" t="str">
        <f t="shared" si="4"/>
        <v>[0.465000, 0.475000]</v>
      </c>
      <c r="E29">
        <f t="shared" si="0"/>
        <v>28</v>
      </c>
      <c r="F29">
        <f t="shared" si="5"/>
        <v>0.46666666666666667</v>
      </c>
      <c r="G29" t="b">
        <f t="shared" si="1"/>
        <v>1</v>
      </c>
      <c r="L29">
        <f>S27</f>
        <v>2</v>
      </c>
      <c r="M29">
        <f t="shared" si="11"/>
        <v>3.3333333333333333E-2</v>
      </c>
      <c r="N29">
        <f t="shared" si="12"/>
        <v>0.03</v>
      </c>
    </row>
    <row r="30" spans="1:21" x14ac:dyDescent="0.25">
      <c r="A30">
        <v>29</v>
      </c>
      <c r="B30">
        <f t="shared" si="2"/>
        <v>0.48333333333333334</v>
      </c>
      <c r="C30">
        <f t="shared" si="3"/>
        <v>0.48</v>
      </c>
      <c r="D30" t="str">
        <f t="shared" si="4"/>
        <v>[0.475000, 0.485000]</v>
      </c>
      <c r="E30">
        <f t="shared" si="0"/>
        <v>29</v>
      </c>
      <c r="F30">
        <f t="shared" si="5"/>
        <v>0.48333333333333334</v>
      </c>
      <c r="G30" t="b">
        <f t="shared" si="1"/>
        <v>1</v>
      </c>
      <c r="L30" s="1">
        <f>SUM(L27:L29)</f>
        <v>6</v>
      </c>
      <c r="M30" s="1">
        <f>SUM(M27:M29)</f>
        <v>0.1</v>
      </c>
      <c r="N30" s="1">
        <f>SUM(N27:N29)</f>
        <v>0.09</v>
      </c>
    </row>
    <row r="31" spans="1:21" x14ac:dyDescent="0.25">
      <c r="A31">
        <v>30</v>
      </c>
      <c r="B31">
        <f t="shared" si="2"/>
        <v>0.5</v>
      </c>
      <c r="C31">
        <f t="shared" si="3"/>
        <v>0.5</v>
      </c>
      <c r="D31" t="str">
        <f t="shared" si="4"/>
        <v>[0.495000, 0.505000]</v>
      </c>
      <c r="E31">
        <f t="shared" si="0"/>
        <v>30</v>
      </c>
      <c r="F31">
        <f t="shared" si="5"/>
        <v>0.5</v>
      </c>
      <c r="G31" t="b">
        <f t="shared" si="1"/>
        <v>1</v>
      </c>
    </row>
    <row r="32" spans="1:21" x14ac:dyDescent="0.25">
      <c r="A32">
        <v>31</v>
      </c>
      <c r="B32">
        <f t="shared" si="2"/>
        <v>0.51666666666666672</v>
      </c>
      <c r="C32">
        <f t="shared" si="3"/>
        <v>0.52</v>
      </c>
      <c r="D32" t="str">
        <f t="shared" si="4"/>
        <v>[0.515000, 0.525000]</v>
      </c>
      <c r="E32">
        <f t="shared" si="0"/>
        <v>31</v>
      </c>
      <c r="F32">
        <f t="shared" si="5"/>
        <v>0.51666666666666672</v>
      </c>
      <c r="G32" t="b">
        <f t="shared" si="1"/>
        <v>1</v>
      </c>
    </row>
    <row r="33" spans="1:7" x14ac:dyDescent="0.25">
      <c r="A33">
        <v>32</v>
      </c>
      <c r="B33">
        <f t="shared" si="2"/>
        <v>0.53333333333333333</v>
      </c>
      <c r="C33">
        <f t="shared" si="3"/>
        <v>0.53</v>
      </c>
      <c r="D33" t="str">
        <f t="shared" si="4"/>
        <v>[0.525000, 0.535000]</v>
      </c>
      <c r="E33">
        <f t="shared" si="0"/>
        <v>32</v>
      </c>
      <c r="F33">
        <f t="shared" si="5"/>
        <v>0.53333333333333333</v>
      </c>
      <c r="G33" t="b">
        <f t="shared" si="1"/>
        <v>1</v>
      </c>
    </row>
    <row r="34" spans="1:7" x14ac:dyDescent="0.25">
      <c r="A34">
        <v>33</v>
      </c>
      <c r="B34">
        <f t="shared" si="2"/>
        <v>0.55000000000000004</v>
      </c>
      <c r="C34">
        <f t="shared" si="3"/>
        <v>0.55000000000000004</v>
      </c>
      <c r="D34" t="str">
        <f t="shared" si="4"/>
        <v>[0.545000, 0.555000]</v>
      </c>
      <c r="E34">
        <f t="shared" ref="E34:E60" si="13">ROUND(C34*60,0)</f>
        <v>33</v>
      </c>
      <c r="F34">
        <f t="shared" si="5"/>
        <v>0.55000000000000004</v>
      </c>
      <c r="G34" t="b">
        <f t="shared" ref="G34:G60" si="14">IF(B34=F34,TRUE,FALSE)</f>
        <v>1</v>
      </c>
    </row>
    <row r="35" spans="1:7" x14ac:dyDescent="0.25">
      <c r="A35">
        <v>34</v>
      </c>
      <c r="B35">
        <f t="shared" si="2"/>
        <v>0.56666666666666665</v>
      </c>
      <c r="C35">
        <f t="shared" si="3"/>
        <v>0.56999999999999995</v>
      </c>
      <c r="D35" t="str">
        <f t="shared" si="4"/>
        <v>[0.565000, 0.575000]</v>
      </c>
      <c r="E35">
        <f t="shared" si="13"/>
        <v>34</v>
      </c>
      <c r="F35">
        <f t="shared" si="5"/>
        <v>0.56666666666666665</v>
      </c>
      <c r="G35" t="b">
        <f t="shared" si="14"/>
        <v>1</v>
      </c>
    </row>
    <row r="36" spans="1:7" x14ac:dyDescent="0.25">
      <c r="A36">
        <v>35</v>
      </c>
      <c r="B36">
        <f t="shared" si="2"/>
        <v>0.58333333333333337</v>
      </c>
      <c r="C36">
        <f t="shared" si="3"/>
        <v>0.57999999999999996</v>
      </c>
      <c r="D36" t="str">
        <f t="shared" si="4"/>
        <v>[0.575000, 0.585000]</v>
      </c>
      <c r="E36">
        <f t="shared" si="13"/>
        <v>35</v>
      </c>
      <c r="F36">
        <f t="shared" si="5"/>
        <v>0.58333333333333337</v>
      </c>
      <c r="G36" t="b">
        <f t="shared" si="14"/>
        <v>1</v>
      </c>
    </row>
    <row r="37" spans="1:7" x14ac:dyDescent="0.25">
      <c r="A37">
        <v>36</v>
      </c>
      <c r="B37">
        <f t="shared" si="2"/>
        <v>0.6</v>
      </c>
      <c r="C37">
        <f t="shared" si="3"/>
        <v>0.6</v>
      </c>
      <c r="D37" t="str">
        <f t="shared" si="4"/>
        <v>[0.595000, 0.605000]</v>
      </c>
      <c r="E37">
        <f t="shared" si="13"/>
        <v>36</v>
      </c>
      <c r="F37">
        <f t="shared" si="5"/>
        <v>0.6</v>
      </c>
      <c r="G37" t="b">
        <f t="shared" si="14"/>
        <v>1</v>
      </c>
    </row>
    <row r="38" spans="1:7" x14ac:dyDescent="0.25">
      <c r="A38">
        <v>37</v>
      </c>
      <c r="B38">
        <f t="shared" si="2"/>
        <v>0.6166666666666667</v>
      </c>
      <c r="C38">
        <f t="shared" si="3"/>
        <v>0.62</v>
      </c>
      <c r="D38" t="str">
        <f t="shared" si="4"/>
        <v>[0.615000, 0.625000]</v>
      </c>
      <c r="E38">
        <f t="shared" si="13"/>
        <v>37</v>
      </c>
      <c r="F38">
        <f t="shared" si="5"/>
        <v>0.6166666666666667</v>
      </c>
      <c r="G38" t="b">
        <f t="shared" si="14"/>
        <v>1</v>
      </c>
    </row>
    <row r="39" spans="1:7" x14ac:dyDescent="0.25">
      <c r="A39">
        <v>38</v>
      </c>
      <c r="B39">
        <f t="shared" si="2"/>
        <v>0.6333333333333333</v>
      </c>
      <c r="C39">
        <f t="shared" si="3"/>
        <v>0.63</v>
      </c>
      <c r="D39" t="str">
        <f t="shared" si="4"/>
        <v>[0.625000, 0.635000]</v>
      </c>
      <c r="E39">
        <f t="shared" si="13"/>
        <v>38</v>
      </c>
      <c r="F39">
        <f t="shared" si="5"/>
        <v>0.6333333333333333</v>
      </c>
      <c r="G39" t="b">
        <f t="shared" si="14"/>
        <v>1</v>
      </c>
    </row>
    <row r="40" spans="1:7" x14ac:dyDescent="0.25">
      <c r="A40">
        <v>39</v>
      </c>
      <c r="B40">
        <f t="shared" si="2"/>
        <v>0.65</v>
      </c>
      <c r="C40">
        <f t="shared" si="3"/>
        <v>0.65</v>
      </c>
      <c r="D40" t="str">
        <f t="shared" si="4"/>
        <v>[0.645000, 0.655000]</v>
      </c>
      <c r="E40">
        <f t="shared" si="13"/>
        <v>39</v>
      </c>
      <c r="F40">
        <f t="shared" si="5"/>
        <v>0.65</v>
      </c>
      <c r="G40" t="b">
        <f t="shared" si="14"/>
        <v>1</v>
      </c>
    </row>
    <row r="41" spans="1:7" x14ac:dyDescent="0.25">
      <c r="A41">
        <v>40</v>
      </c>
      <c r="B41">
        <f t="shared" si="2"/>
        <v>0.66666666666666663</v>
      </c>
      <c r="C41">
        <f t="shared" si="3"/>
        <v>0.67</v>
      </c>
      <c r="D41" t="str">
        <f t="shared" si="4"/>
        <v>[0.665000, 0.675000]</v>
      </c>
      <c r="E41">
        <f t="shared" si="13"/>
        <v>40</v>
      </c>
      <c r="F41">
        <f t="shared" si="5"/>
        <v>0.66666666666666663</v>
      </c>
      <c r="G41" t="b">
        <f t="shared" si="14"/>
        <v>1</v>
      </c>
    </row>
    <row r="42" spans="1:7" x14ac:dyDescent="0.25">
      <c r="A42">
        <v>41</v>
      </c>
      <c r="B42">
        <f t="shared" si="2"/>
        <v>0.68333333333333335</v>
      </c>
      <c r="C42">
        <f t="shared" si="3"/>
        <v>0.68</v>
      </c>
      <c r="D42" t="str">
        <f t="shared" si="4"/>
        <v>[0.675000, 0.685000]</v>
      </c>
      <c r="E42">
        <f t="shared" si="13"/>
        <v>41</v>
      </c>
      <c r="F42">
        <f t="shared" si="5"/>
        <v>0.68333333333333335</v>
      </c>
      <c r="G42" t="b">
        <f t="shared" si="14"/>
        <v>1</v>
      </c>
    </row>
    <row r="43" spans="1:7" x14ac:dyDescent="0.25">
      <c r="A43">
        <v>42</v>
      </c>
      <c r="B43">
        <f t="shared" si="2"/>
        <v>0.7</v>
      </c>
      <c r="C43">
        <f t="shared" si="3"/>
        <v>0.7</v>
      </c>
      <c r="D43" t="str">
        <f t="shared" si="4"/>
        <v>[0.695000, 0.705000]</v>
      </c>
      <c r="E43">
        <f t="shared" si="13"/>
        <v>42</v>
      </c>
      <c r="F43">
        <f t="shared" si="5"/>
        <v>0.7</v>
      </c>
      <c r="G43" t="b">
        <f t="shared" si="14"/>
        <v>1</v>
      </c>
    </row>
    <row r="44" spans="1:7" x14ac:dyDescent="0.25">
      <c r="A44">
        <v>43</v>
      </c>
      <c r="B44">
        <f t="shared" si="2"/>
        <v>0.71666666666666667</v>
      </c>
      <c r="C44">
        <f t="shared" si="3"/>
        <v>0.72</v>
      </c>
      <c r="D44" t="str">
        <f t="shared" si="4"/>
        <v>[0.715000, 0.725000]</v>
      </c>
      <c r="E44">
        <f t="shared" si="13"/>
        <v>43</v>
      </c>
      <c r="F44">
        <f t="shared" si="5"/>
        <v>0.71666666666666667</v>
      </c>
      <c r="G44" t="b">
        <f t="shared" si="14"/>
        <v>1</v>
      </c>
    </row>
    <row r="45" spans="1:7" x14ac:dyDescent="0.25">
      <c r="A45">
        <v>44</v>
      </c>
      <c r="B45">
        <f t="shared" si="2"/>
        <v>0.73333333333333328</v>
      </c>
      <c r="C45">
        <f t="shared" si="3"/>
        <v>0.73</v>
      </c>
      <c r="D45" t="str">
        <f t="shared" si="4"/>
        <v>[0.725000, 0.735000]</v>
      </c>
      <c r="E45">
        <f t="shared" si="13"/>
        <v>44</v>
      </c>
      <c r="F45">
        <f t="shared" si="5"/>
        <v>0.73333333333333328</v>
      </c>
      <c r="G45" t="b">
        <f t="shared" si="14"/>
        <v>1</v>
      </c>
    </row>
    <row r="46" spans="1:7" x14ac:dyDescent="0.25">
      <c r="A46">
        <v>45</v>
      </c>
      <c r="B46">
        <f t="shared" si="2"/>
        <v>0.75</v>
      </c>
      <c r="C46">
        <f t="shared" si="3"/>
        <v>0.75</v>
      </c>
      <c r="D46" t="str">
        <f t="shared" si="4"/>
        <v>[0.745000, 0.755000]</v>
      </c>
      <c r="E46">
        <f t="shared" si="13"/>
        <v>45</v>
      </c>
      <c r="F46">
        <f t="shared" si="5"/>
        <v>0.75</v>
      </c>
      <c r="G46" t="b">
        <f t="shared" si="14"/>
        <v>1</v>
      </c>
    </row>
    <row r="47" spans="1:7" x14ac:dyDescent="0.25">
      <c r="A47">
        <v>46</v>
      </c>
      <c r="B47">
        <f t="shared" si="2"/>
        <v>0.76666666666666672</v>
      </c>
      <c r="C47">
        <f t="shared" si="3"/>
        <v>0.77</v>
      </c>
      <c r="D47" t="str">
        <f t="shared" si="4"/>
        <v>[0.765000, 0.775000]</v>
      </c>
      <c r="E47">
        <f t="shared" si="13"/>
        <v>46</v>
      </c>
      <c r="F47">
        <f t="shared" si="5"/>
        <v>0.76666666666666672</v>
      </c>
      <c r="G47" t="b">
        <f t="shared" si="14"/>
        <v>1</v>
      </c>
    </row>
    <row r="48" spans="1:7" x14ac:dyDescent="0.25">
      <c r="A48">
        <v>47</v>
      </c>
      <c r="B48">
        <f t="shared" si="2"/>
        <v>0.78333333333333333</v>
      </c>
      <c r="C48">
        <f t="shared" si="3"/>
        <v>0.78</v>
      </c>
      <c r="D48" t="str">
        <f t="shared" si="4"/>
        <v>[0.775000, 0.785000]</v>
      </c>
      <c r="E48">
        <f t="shared" si="13"/>
        <v>47</v>
      </c>
      <c r="F48">
        <f t="shared" si="5"/>
        <v>0.78333333333333333</v>
      </c>
      <c r="G48" t="b">
        <f t="shared" si="14"/>
        <v>1</v>
      </c>
    </row>
    <row r="49" spans="1:10" x14ac:dyDescent="0.25">
      <c r="A49">
        <v>48</v>
      </c>
      <c r="B49">
        <f t="shared" si="2"/>
        <v>0.8</v>
      </c>
      <c r="C49">
        <f t="shared" si="3"/>
        <v>0.8</v>
      </c>
      <c r="D49" t="str">
        <f t="shared" si="4"/>
        <v>[0.795000, 0.805000]</v>
      </c>
      <c r="E49">
        <f t="shared" si="13"/>
        <v>48</v>
      </c>
      <c r="F49">
        <f t="shared" si="5"/>
        <v>0.8</v>
      </c>
      <c r="G49" t="b">
        <f t="shared" si="14"/>
        <v>1</v>
      </c>
    </row>
    <row r="50" spans="1:10" x14ac:dyDescent="0.25">
      <c r="A50">
        <v>49</v>
      </c>
      <c r="B50">
        <f t="shared" si="2"/>
        <v>0.81666666666666665</v>
      </c>
      <c r="C50">
        <f t="shared" si="3"/>
        <v>0.82</v>
      </c>
      <c r="D50" t="str">
        <f t="shared" si="4"/>
        <v>[0.815000, 0.825000]</v>
      </c>
      <c r="E50">
        <f t="shared" si="13"/>
        <v>49</v>
      </c>
      <c r="F50">
        <f t="shared" si="5"/>
        <v>0.81666666666666665</v>
      </c>
      <c r="G50" t="b">
        <f t="shared" si="14"/>
        <v>1</v>
      </c>
    </row>
    <row r="51" spans="1:10" x14ac:dyDescent="0.25">
      <c r="A51">
        <v>50</v>
      </c>
      <c r="B51">
        <f t="shared" si="2"/>
        <v>0.83333333333333337</v>
      </c>
      <c r="C51">
        <f t="shared" si="3"/>
        <v>0.83</v>
      </c>
      <c r="D51" t="str">
        <f t="shared" si="4"/>
        <v>[0.825000, 0.835000]</v>
      </c>
      <c r="E51">
        <f t="shared" si="13"/>
        <v>50</v>
      </c>
      <c r="F51">
        <f t="shared" si="5"/>
        <v>0.83333333333333337</v>
      </c>
      <c r="G51" t="b">
        <f t="shared" si="14"/>
        <v>1</v>
      </c>
    </row>
    <row r="52" spans="1:10" x14ac:dyDescent="0.25">
      <c r="A52">
        <v>51</v>
      </c>
      <c r="B52">
        <f t="shared" si="2"/>
        <v>0.85</v>
      </c>
      <c r="C52">
        <f t="shared" si="3"/>
        <v>0.85</v>
      </c>
      <c r="D52" t="str">
        <f t="shared" si="4"/>
        <v>[0.845000, 0.855000]</v>
      </c>
      <c r="E52">
        <f t="shared" si="13"/>
        <v>51</v>
      </c>
      <c r="F52">
        <f t="shared" si="5"/>
        <v>0.85</v>
      </c>
      <c r="G52" t="b">
        <f t="shared" si="14"/>
        <v>1</v>
      </c>
    </row>
    <row r="53" spans="1:10" x14ac:dyDescent="0.25">
      <c r="A53">
        <v>52</v>
      </c>
      <c r="B53">
        <f t="shared" si="2"/>
        <v>0.8666666666666667</v>
      </c>
      <c r="C53">
        <f t="shared" si="3"/>
        <v>0.87</v>
      </c>
      <c r="D53" t="str">
        <f t="shared" si="4"/>
        <v>[0.865000, 0.875000]</v>
      </c>
      <c r="E53">
        <f t="shared" si="13"/>
        <v>52</v>
      </c>
      <c r="F53">
        <f t="shared" si="5"/>
        <v>0.8666666666666667</v>
      </c>
      <c r="G53" t="b">
        <f t="shared" si="14"/>
        <v>1</v>
      </c>
    </row>
    <row r="54" spans="1:10" x14ac:dyDescent="0.25">
      <c r="A54">
        <v>53</v>
      </c>
      <c r="B54">
        <f t="shared" si="2"/>
        <v>0.8833333333333333</v>
      </c>
      <c r="C54">
        <f t="shared" si="3"/>
        <v>0.88</v>
      </c>
      <c r="D54" t="str">
        <f t="shared" si="4"/>
        <v>[0.875000, 0.885000]</v>
      </c>
      <c r="E54">
        <f t="shared" si="13"/>
        <v>53</v>
      </c>
      <c r="F54">
        <f t="shared" si="5"/>
        <v>0.8833333333333333</v>
      </c>
      <c r="G54" t="b">
        <f t="shared" si="14"/>
        <v>1</v>
      </c>
    </row>
    <row r="55" spans="1:10" x14ac:dyDescent="0.25">
      <c r="A55">
        <v>54</v>
      </c>
      <c r="B55">
        <f t="shared" si="2"/>
        <v>0.9</v>
      </c>
      <c r="C55">
        <f t="shared" si="3"/>
        <v>0.9</v>
      </c>
      <c r="D55" t="str">
        <f t="shared" si="4"/>
        <v>[0.895000, 0.905000]</v>
      </c>
      <c r="E55">
        <f t="shared" si="13"/>
        <v>54</v>
      </c>
      <c r="F55">
        <f t="shared" si="5"/>
        <v>0.9</v>
      </c>
      <c r="G55" t="b">
        <f t="shared" si="14"/>
        <v>1</v>
      </c>
    </row>
    <row r="56" spans="1:10" x14ac:dyDescent="0.25">
      <c r="A56">
        <v>55</v>
      </c>
      <c r="B56">
        <f t="shared" si="2"/>
        <v>0.91666666666666663</v>
      </c>
      <c r="C56">
        <f t="shared" si="3"/>
        <v>0.92</v>
      </c>
      <c r="D56" t="str">
        <f t="shared" si="4"/>
        <v>[0.915000, 0.925000]</v>
      </c>
      <c r="E56">
        <f t="shared" si="13"/>
        <v>55</v>
      </c>
      <c r="F56">
        <f t="shared" si="5"/>
        <v>0.91666666666666663</v>
      </c>
      <c r="G56" t="b">
        <f t="shared" si="14"/>
        <v>1</v>
      </c>
    </row>
    <row r="57" spans="1:10" x14ac:dyDescent="0.25">
      <c r="A57">
        <v>56</v>
      </c>
      <c r="B57">
        <f t="shared" si="2"/>
        <v>0.93333333333333335</v>
      </c>
      <c r="C57">
        <f t="shared" si="3"/>
        <v>0.93</v>
      </c>
      <c r="D57" t="str">
        <f t="shared" si="4"/>
        <v>[0.925000, 0.935000]</v>
      </c>
      <c r="E57">
        <f t="shared" si="13"/>
        <v>56</v>
      </c>
      <c r="F57">
        <f t="shared" si="5"/>
        <v>0.93333333333333335</v>
      </c>
      <c r="G57" t="b">
        <f t="shared" si="14"/>
        <v>1</v>
      </c>
    </row>
    <row r="58" spans="1:10" x14ac:dyDescent="0.25">
      <c r="A58">
        <v>57</v>
      </c>
      <c r="B58">
        <f t="shared" si="2"/>
        <v>0.95</v>
      </c>
      <c r="C58">
        <f t="shared" si="3"/>
        <v>0.95</v>
      </c>
      <c r="D58" t="str">
        <f t="shared" si="4"/>
        <v>[0.945000, 0.955000]</v>
      </c>
      <c r="E58">
        <f t="shared" si="13"/>
        <v>57</v>
      </c>
      <c r="F58">
        <f t="shared" si="5"/>
        <v>0.95</v>
      </c>
      <c r="G58" t="b">
        <f t="shared" si="14"/>
        <v>1</v>
      </c>
    </row>
    <row r="59" spans="1:10" x14ac:dyDescent="0.25">
      <c r="A59">
        <v>58</v>
      </c>
      <c r="B59">
        <f t="shared" si="2"/>
        <v>0.96666666666666667</v>
      </c>
      <c r="C59">
        <f t="shared" si="3"/>
        <v>0.97</v>
      </c>
      <c r="D59" t="str">
        <f t="shared" si="4"/>
        <v>[0.965000, 0.975000]</v>
      </c>
      <c r="E59">
        <f t="shared" si="13"/>
        <v>58</v>
      </c>
      <c r="F59">
        <f t="shared" si="5"/>
        <v>0.96666666666666667</v>
      </c>
      <c r="G59" t="b">
        <f t="shared" si="14"/>
        <v>1</v>
      </c>
    </row>
    <row r="60" spans="1:10" x14ac:dyDescent="0.25">
      <c r="A60">
        <v>59</v>
      </c>
      <c r="B60">
        <f t="shared" si="2"/>
        <v>0.98333333333333328</v>
      </c>
      <c r="C60">
        <f t="shared" si="3"/>
        <v>0.98</v>
      </c>
      <c r="D60" t="str">
        <f t="shared" si="4"/>
        <v>[0.975000, 0.985000]</v>
      </c>
      <c r="E60">
        <f t="shared" si="13"/>
        <v>59</v>
      </c>
      <c r="F60">
        <f t="shared" si="5"/>
        <v>0.98333333333333328</v>
      </c>
      <c r="G60" t="b">
        <f t="shared" si="14"/>
        <v>1</v>
      </c>
    </row>
    <row r="64" spans="1:10" x14ac:dyDescent="0.25">
      <c r="A64" s="6"/>
      <c r="B64" s="2"/>
      <c r="C64" s="3"/>
      <c r="D64" s="4"/>
      <c r="H64" s="5"/>
      <c r="I64" s="5"/>
      <c r="J64" s="5"/>
    </row>
    <row r="69" spans="1:10" x14ac:dyDescent="0.25">
      <c r="B69" s="1"/>
      <c r="C69" s="1"/>
      <c r="D69" s="1"/>
    </row>
    <row r="72" spans="1:10" x14ac:dyDescent="0.25">
      <c r="A72" s="6"/>
      <c r="B72" s="2"/>
      <c r="C72" s="3"/>
      <c r="D72" s="4"/>
      <c r="H72" s="5"/>
      <c r="I72" s="5"/>
      <c r="J72" s="5"/>
    </row>
    <row r="76" spans="1:10" x14ac:dyDescent="0.25">
      <c r="B76" s="1"/>
      <c r="C76" s="1"/>
      <c r="D76" s="1"/>
    </row>
    <row r="80" spans="1:10" x14ac:dyDescent="0.25">
      <c r="A80" s="6"/>
      <c r="B80" s="2"/>
      <c r="C80" s="3"/>
      <c r="D80" s="4"/>
      <c r="H80" s="5"/>
      <c r="I80" s="5"/>
      <c r="J80" s="5"/>
    </row>
    <row r="85" spans="1:10" x14ac:dyDescent="0.25">
      <c r="B85" s="1"/>
      <c r="C85" s="1"/>
      <c r="D85" s="1"/>
    </row>
    <row r="87" spans="1:10" x14ac:dyDescent="0.25">
      <c r="A87" s="6"/>
      <c r="B87" s="2"/>
      <c r="C87" s="3"/>
      <c r="D87" s="4"/>
      <c r="H87" s="5"/>
      <c r="I87" s="5"/>
      <c r="J87" s="5"/>
    </row>
    <row r="92" spans="1:10" x14ac:dyDescent="0.25">
      <c r="B92" s="1"/>
      <c r="C92" s="1"/>
      <c r="D9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04B5E-DADF-40C4-9003-B74FF5181A27}">
  <dimension ref="A1:A12"/>
  <sheetViews>
    <sheetView tabSelected="1" workbookViewId="0">
      <selection activeCell="B22" sqref="B12:B22"/>
    </sheetView>
  </sheetViews>
  <sheetFormatPr defaultRowHeight="15" x14ac:dyDescent="0.25"/>
  <cols>
    <col min="1" max="1" width="109.42578125" bestFit="1" customWidth="1"/>
    <col min="18" max="18" width="73.85546875" customWidth="1"/>
  </cols>
  <sheetData>
    <row r="1" spans="1:1" x14ac:dyDescent="0.25">
      <c r="A1" s="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ht="409.5" x14ac:dyDescent="0.25">
      <c r="A5" s="7" t="s">
        <v>21</v>
      </c>
    </row>
    <row r="7" spans="1:1" x14ac:dyDescent="0.25">
      <c r="A7" s="1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2" spans="1:1" ht="409.5" x14ac:dyDescent="0.25">
      <c r="A12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Mohan</dc:creator>
  <cp:lastModifiedBy>Rama Mohan</cp:lastModifiedBy>
  <dcterms:created xsi:type="dcterms:W3CDTF">2026-07-14T19:56:10Z</dcterms:created>
  <dcterms:modified xsi:type="dcterms:W3CDTF">2026-07-16T12:50:42Z</dcterms:modified>
</cp:coreProperties>
</file>