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rammo\Desktop\"/>
    </mc:Choice>
  </mc:AlternateContent>
  <xr:revisionPtr revIDLastSave="0" documentId="8_{B99BAEE5-6423-4DA2-A02B-F733543180D8}" xr6:coauthVersionLast="47" xr6:coauthVersionMax="47" xr10:uidLastSave="{00000000-0000-0000-0000-000000000000}"/>
  <bookViews>
    <workbookView xWindow="-120" yWindow="-120" windowWidth="29040" windowHeight="15720" activeTab="2" xr2:uid="{1355C601-4BF7-48F2-9AB2-53B9AA0DDA5C}"/>
  </bookViews>
  <sheets>
    <sheet name="Sheet2" sheetId="2" r:id="rId1"/>
    <sheet name="By Dept" sheetId="3" r:id="rId2"/>
    <sheet name="Sheet4"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 i="3" l="1"/>
  <c r="I12" i="3"/>
  <c r="D12" i="3"/>
  <c r="E12" i="3" s="1"/>
  <c r="I11" i="3"/>
  <c r="D11" i="3"/>
  <c r="D13" i="3" s="1"/>
  <c r="B5" i="3"/>
  <c r="D4" i="3"/>
  <c r="E4" i="3" s="1"/>
  <c r="D3" i="3"/>
  <c r="E3" i="3" s="1"/>
  <c r="E5" i="3" s="1"/>
  <c r="I4" i="3"/>
  <c r="I3" i="3"/>
  <c r="D5" i="3" l="1"/>
  <c r="E11" i="3"/>
  <c r="E13" i="3" s="1"/>
</calcChain>
</file>

<file path=xl/sharedStrings.xml><?xml version="1.0" encoding="utf-8"?>
<sst xmlns="http://schemas.openxmlformats.org/spreadsheetml/2006/main" count="44" uniqueCount="38">
  <si>
    <t>Original Minutes</t>
  </si>
  <si>
    <t>Original Hours</t>
  </si>
  <si>
    <t>Stored (Rounded) Hours</t>
  </si>
  <si>
    <r>
      <t>Recovered Minutes (</t>
    </r>
    <r>
      <rPr>
        <b/>
        <sz val="10"/>
        <color theme="1"/>
        <rFont val="Arial Unicode MS"/>
      </rPr>
      <t>ROUND(Hours × 60)</t>
    </r>
    <r>
      <rPr>
        <b/>
        <sz val="11"/>
        <color theme="1"/>
        <rFont val="Calibri"/>
        <family val="2"/>
        <scheme val="minor"/>
      </rPr>
      <t>)</t>
    </r>
  </si>
  <si>
    <t>Reconstructed Hours</t>
  </si>
  <si>
    <r>
      <t xml:space="preserve">ROUND(1.52 × 60) = ROUND(91.2) = </t>
    </r>
    <r>
      <rPr>
        <b/>
        <sz val="11"/>
        <color theme="1"/>
        <rFont val="Calibri"/>
        <family val="2"/>
        <scheme val="minor"/>
      </rPr>
      <t>91</t>
    </r>
  </si>
  <si>
    <r>
      <t xml:space="preserve">91 / 60 = </t>
    </r>
    <r>
      <rPr>
        <b/>
        <sz val="11"/>
        <color theme="1"/>
        <rFont val="Calibri"/>
        <family val="2"/>
        <scheme val="minor"/>
      </rPr>
      <t>1.516666667</t>
    </r>
  </si>
  <si>
    <r>
      <t xml:space="preserve">ROUND(1.53 × 60) = ROUND(91.8) = </t>
    </r>
    <r>
      <rPr>
        <b/>
        <sz val="11"/>
        <color theme="1"/>
        <rFont val="Calibri"/>
        <family val="2"/>
        <scheme val="minor"/>
      </rPr>
      <t>92</t>
    </r>
  </si>
  <si>
    <r>
      <t xml:space="preserve">92 / 60 = </t>
    </r>
    <r>
      <rPr>
        <b/>
        <sz val="11"/>
        <color theme="1"/>
        <rFont val="Calibri"/>
        <family val="2"/>
        <scheme val="minor"/>
      </rPr>
      <t>1.533333333</t>
    </r>
  </si>
  <si>
    <r>
      <t xml:space="preserve">ROUND(1.55 × 60) = ROUND(93.0) = </t>
    </r>
    <r>
      <rPr>
        <b/>
        <sz val="11"/>
        <color theme="1"/>
        <rFont val="Calibri"/>
        <family val="2"/>
        <scheme val="minor"/>
      </rPr>
      <t>93</t>
    </r>
  </si>
  <si>
    <r>
      <t xml:space="preserve">93 / 60 = </t>
    </r>
    <r>
      <rPr>
        <b/>
        <sz val="11"/>
        <color theme="1"/>
        <rFont val="Calibri"/>
        <family val="2"/>
        <scheme val="minor"/>
      </rPr>
      <t>1.550000000</t>
    </r>
  </si>
  <si>
    <r>
      <t xml:space="preserve">ROUND(1.57 × 60) = ROUND(94.2) = </t>
    </r>
    <r>
      <rPr>
        <b/>
        <sz val="11"/>
        <color theme="1"/>
        <rFont val="Calibri"/>
        <family val="2"/>
        <scheme val="minor"/>
      </rPr>
      <t>94</t>
    </r>
  </si>
  <si>
    <r>
      <t xml:space="preserve">94 / 60 = </t>
    </r>
    <r>
      <rPr>
        <b/>
        <sz val="11"/>
        <color theme="1"/>
        <rFont val="Calibri"/>
        <family val="2"/>
        <scheme val="minor"/>
      </rPr>
      <t>1.566666667</t>
    </r>
  </si>
  <si>
    <r>
      <t xml:space="preserve">ROUND(1.58 × 60) = ROUND(94.8) = </t>
    </r>
    <r>
      <rPr>
        <b/>
        <sz val="11"/>
        <color theme="1"/>
        <rFont val="Calibri"/>
        <family val="2"/>
        <scheme val="minor"/>
      </rPr>
      <t>95</t>
    </r>
  </si>
  <si>
    <r>
      <t xml:space="preserve">95 / 60 = </t>
    </r>
    <r>
      <rPr>
        <b/>
        <sz val="11"/>
        <color theme="1"/>
        <rFont val="Calibri"/>
        <family val="2"/>
        <scheme val="minor"/>
      </rPr>
      <t>1.583333333</t>
    </r>
  </si>
  <si>
    <r>
      <t xml:space="preserve">ROUND(1.60 × 60) = ROUND(96.0) = </t>
    </r>
    <r>
      <rPr>
        <b/>
        <sz val="11"/>
        <color theme="1"/>
        <rFont val="Calibri"/>
        <family val="2"/>
        <scheme val="minor"/>
      </rPr>
      <t>96</t>
    </r>
  </si>
  <si>
    <r>
      <t xml:space="preserve">96 / 60 = </t>
    </r>
    <r>
      <rPr>
        <b/>
        <sz val="11"/>
        <color theme="1"/>
        <rFont val="Calibri"/>
        <family val="2"/>
        <scheme val="minor"/>
      </rPr>
      <t>1.600000000</t>
    </r>
  </si>
  <si>
    <t>Department</t>
  </si>
  <si>
    <t>Actual Hours</t>
  </si>
  <si>
    <t>Stored Hours</t>
  </si>
  <si>
    <t>A</t>
  </si>
  <si>
    <t>B</t>
  </si>
  <si>
    <t>Don't Know Total Hours Before split</t>
  </si>
  <si>
    <t>1 Dept</t>
  </si>
  <si>
    <t xml:space="preserve"> +/- 0.5 Mins</t>
  </si>
  <si>
    <t>2 Dept</t>
  </si>
  <si>
    <t>1 Min</t>
  </si>
  <si>
    <t>3 Dept</t>
  </si>
  <si>
    <t>2 Min</t>
  </si>
  <si>
    <t>4 Dept</t>
  </si>
  <si>
    <t>3 Min</t>
  </si>
  <si>
    <t>5 Dept</t>
  </si>
  <si>
    <t>6 Dept</t>
  </si>
  <si>
    <t>Lose Minute</t>
  </si>
  <si>
    <t>Gain Minute</t>
  </si>
  <si>
    <t>95 Mins</t>
  </si>
  <si>
    <t>91 Mins</t>
  </si>
  <si>
    <t>Conclusion
✅ The total time can be reconstructed exactly.
✅ The department totals can be adjusted so that they add up to the correct total.
❌ The exact original department allocation cannot always be reconstructed because multiple minute allocations can produce the same rounded department hours.
For payroll purposes, this approach is generally sufficient because the employee's total paid time remains correct, and any discrepancy is limited to the distribution of one minute (for a two-department split).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</si>
</sst>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b/>
      <sz val="10"/>
      <color theme="1"/>
      <name val="Arial Unicode MS"/>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horizontal="right" vertical="center" wrapText="1"/>
    </xf>
    <xf numFmtId="0" fontId="1" fillId="0" borderId="0" xfId="0" applyFont="1" applyAlignment="1">
      <alignment horizontal="right" vertical="center" wrapText="1"/>
    </xf>
    <xf numFmtId="0" fontId="1" fillId="0" borderId="0" xfId="0" applyFont="1" applyAlignment="1">
      <alignment horizontal="center" vertical="center" wrapText="1"/>
    </xf>
    <xf numFmtId="0" fontId="0" fillId="0" borderId="0" xfId="0" applyAlignment="1">
      <alignment vertical="center" wrapText="1"/>
    </xf>
    <xf numFmtId="0" fontId="1" fillId="2" borderId="0" xfId="0" applyFont="1" applyFill="1" applyAlignment="1">
      <alignment horizontal="center" vertical="center" wrapText="1"/>
    </xf>
    <xf numFmtId="0" fontId="0" fillId="2" borderId="0" xfId="0" applyFill="1"/>
    <xf numFmtId="0" fontId="1" fillId="2" borderId="0" xfId="0" applyFont="1"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5102B-F7EB-4B5D-B1D8-B56B856DF380}">
  <dimension ref="A1:E7"/>
  <sheetViews>
    <sheetView workbookViewId="0">
      <selection activeCell="D2" sqref="D2"/>
    </sheetView>
  </sheetViews>
  <sheetFormatPr defaultColWidth="47" defaultRowHeight="21" customHeight="1"/>
  <cols>
    <col min="1" max="1" width="16" bestFit="1" customWidth="1"/>
    <col min="2" max="2" width="13.7109375" bestFit="1" customWidth="1"/>
    <col min="3" max="3" width="22.7109375" bestFit="1" customWidth="1"/>
    <col min="4" max="4" width="38.28515625" bestFit="1" customWidth="1"/>
    <col min="5" max="5" width="19.5703125" bestFit="1" customWidth="1"/>
  </cols>
  <sheetData>
    <row r="1" spans="1:5" ht="21" customHeight="1">
      <c r="A1" s="3" t="s">
        <v>0</v>
      </c>
      <c r="B1" s="3" t="s">
        <v>1</v>
      </c>
      <c r="C1" s="3" t="s">
        <v>2</v>
      </c>
      <c r="D1" s="3" t="s">
        <v>3</v>
      </c>
      <c r="E1" s="3" t="s">
        <v>4</v>
      </c>
    </row>
    <row r="2" spans="1:5" ht="21" customHeight="1">
      <c r="A2" s="2">
        <v>91</v>
      </c>
      <c r="B2" s="2">
        <v>1.516666667</v>
      </c>
      <c r="C2" s="2">
        <v>1.52</v>
      </c>
      <c r="D2" s="2" t="s">
        <v>5</v>
      </c>
      <c r="E2" s="2" t="s">
        <v>6</v>
      </c>
    </row>
    <row r="3" spans="1:5" ht="21" customHeight="1">
      <c r="A3" s="2">
        <v>92</v>
      </c>
      <c r="B3" s="2">
        <v>1.5333333330000001</v>
      </c>
      <c r="C3" s="2">
        <v>1.53</v>
      </c>
      <c r="D3" s="2" t="s">
        <v>7</v>
      </c>
      <c r="E3" s="2" t="s">
        <v>8</v>
      </c>
    </row>
    <row r="4" spans="1:5" ht="21" customHeight="1">
      <c r="A4" s="2">
        <v>93</v>
      </c>
      <c r="B4" s="2">
        <v>1.55</v>
      </c>
      <c r="C4" s="2">
        <v>1.55</v>
      </c>
      <c r="D4" s="2" t="s">
        <v>9</v>
      </c>
      <c r="E4" s="2" t="s">
        <v>10</v>
      </c>
    </row>
    <row r="5" spans="1:5" ht="21" customHeight="1">
      <c r="A5" s="2">
        <v>94</v>
      </c>
      <c r="B5" s="2">
        <v>1.566666667</v>
      </c>
      <c r="C5" s="2">
        <v>1.57</v>
      </c>
      <c r="D5" s="2" t="s">
        <v>11</v>
      </c>
      <c r="E5" s="2" t="s">
        <v>12</v>
      </c>
    </row>
    <row r="6" spans="1:5" ht="21" customHeight="1">
      <c r="A6" s="2">
        <v>95</v>
      </c>
      <c r="B6" s="2">
        <v>1.5833333329999999</v>
      </c>
      <c r="C6" s="2">
        <v>1.58</v>
      </c>
      <c r="D6" s="2" t="s">
        <v>13</v>
      </c>
      <c r="E6" s="2" t="s">
        <v>14</v>
      </c>
    </row>
    <row r="7" spans="1:5" ht="21" customHeight="1">
      <c r="A7" s="2">
        <v>96</v>
      </c>
      <c r="B7" s="2">
        <v>1.6</v>
      </c>
      <c r="C7" s="2">
        <v>1.6</v>
      </c>
      <c r="D7" s="2" t="s">
        <v>15</v>
      </c>
      <c r="E7" s="2"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11666-CD41-43A9-9E6A-F79F24516CC6}">
  <dimension ref="A1:M13"/>
  <sheetViews>
    <sheetView workbookViewId="0">
      <selection activeCell="I2" sqref="I2"/>
    </sheetView>
  </sheetViews>
  <sheetFormatPr defaultRowHeight="15"/>
  <cols>
    <col min="1" max="1" width="11.85546875" bestFit="1" customWidth="1"/>
    <col min="2" max="2" width="11.5703125" bestFit="1" customWidth="1"/>
    <col min="4" max="4" width="19.85546875" customWidth="1"/>
    <col min="9" max="9" width="12" bestFit="1" customWidth="1"/>
    <col min="13" max="13" width="33" bestFit="1" customWidth="1"/>
  </cols>
  <sheetData>
    <row r="1" spans="1:13" ht="45">
      <c r="A1" s="4" t="s">
        <v>17</v>
      </c>
      <c r="B1" s="3" t="s">
        <v>18</v>
      </c>
      <c r="C1" s="3" t="s">
        <v>19</v>
      </c>
      <c r="D1" s="3" t="s">
        <v>3</v>
      </c>
      <c r="E1" s="3" t="s">
        <v>4</v>
      </c>
    </row>
    <row r="2" spans="1:13" ht="30">
      <c r="A2" s="6" t="s">
        <v>33</v>
      </c>
      <c r="B2" s="3"/>
      <c r="C2" s="3"/>
      <c r="D2" s="3"/>
      <c r="E2" s="3"/>
      <c r="H2" s="7" t="s">
        <v>35</v>
      </c>
    </row>
    <row r="3" spans="1:13">
      <c r="A3" s="5" t="s">
        <v>20</v>
      </c>
      <c r="B3" s="2">
        <v>0.79166666699999999</v>
      </c>
      <c r="C3" s="2">
        <v>0.79</v>
      </c>
      <c r="D3">
        <f>ROUND(C3*60,0)</f>
        <v>47</v>
      </c>
      <c r="E3">
        <f>D3/60</f>
        <v>0.78333333333333333</v>
      </c>
      <c r="H3">
        <v>47.5</v>
      </c>
      <c r="I3">
        <f>H3/60</f>
        <v>0.79166666666666663</v>
      </c>
    </row>
    <row r="4" spans="1:13">
      <c r="A4" s="5" t="s">
        <v>21</v>
      </c>
      <c r="B4" s="2">
        <v>0.79166666699999999</v>
      </c>
      <c r="C4" s="2">
        <v>0.79</v>
      </c>
      <c r="D4">
        <f>ROUND(C4*60,0)</f>
        <v>47</v>
      </c>
      <c r="E4">
        <f>D4/60</f>
        <v>0.78333333333333333</v>
      </c>
      <c r="H4">
        <v>47.5</v>
      </c>
      <c r="I4">
        <f>H4/60</f>
        <v>0.79166666666666663</v>
      </c>
    </row>
    <row r="5" spans="1:13">
      <c r="B5">
        <f>SUM(B3:B4)</f>
        <v>1.583333334</v>
      </c>
      <c r="D5" s="1">
        <f>SUM(D3:D4)</f>
        <v>94</v>
      </c>
      <c r="E5">
        <f>SUM(E3:E4)</f>
        <v>1.5666666666666667</v>
      </c>
    </row>
    <row r="6" spans="1:13">
      <c r="H6">
        <v>47</v>
      </c>
    </row>
    <row r="7" spans="1:13">
      <c r="H7">
        <v>48</v>
      </c>
      <c r="M7" t="s">
        <v>22</v>
      </c>
    </row>
    <row r="10" spans="1:13">
      <c r="A10" s="8" t="s">
        <v>34</v>
      </c>
      <c r="H10" s="7" t="s">
        <v>36</v>
      </c>
    </row>
    <row r="11" spans="1:13">
      <c r="A11" s="5" t="s">
        <v>20</v>
      </c>
      <c r="B11">
        <v>0.7583333333333333</v>
      </c>
      <c r="C11" s="2">
        <v>0.76</v>
      </c>
      <c r="D11">
        <f>ROUND(C11*60,0)</f>
        <v>46</v>
      </c>
      <c r="E11">
        <f>D11/60</f>
        <v>0.76666666666666672</v>
      </c>
      <c r="H11">
        <v>45.5</v>
      </c>
      <c r="I11">
        <f>H11/60</f>
        <v>0.7583333333333333</v>
      </c>
    </row>
    <row r="12" spans="1:13">
      <c r="A12" s="5" t="s">
        <v>21</v>
      </c>
      <c r="B12" s="2">
        <v>0.7583333333333333</v>
      </c>
      <c r="C12" s="2">
        <v>0.76</v>
      </c>
      <c r="D12">
        <f>ROUND(C12*60,0)</f>
        <v>46</v>
      </c>
      <c r="E12">
        <f>D12/60</f>
        <v>0.76666666666666672</v>
      </c>
      <c r="H12">
        <v>45.5</v>
      </c>
      <c r="I12">
        <f>H12/60</f>
        <v>0.7583333333333333</v>
      </c>
    </row>
    <row r="13" spans="1:13">
      <c r="B13">
        <f>SUM(B11:B12)</f>
        <v>1.5166666666666666</v>
      </c>
      <c r="D13" s="1">
        <f>SUM(D11:D12)</f>
        <v>92</v>
      </c>
      <c r="E13">
        <f>SUM(E11:E12)</f>
        <v>1.5333333333333334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6808D-38ED-4B00-9524-236835246A4F}">
  <dimension ref="A2:G15"/>
  <sheetViews>
    <sheetView tabSelected="1" topLeftCell="A13" workbookViewId="0">
      <selection activeCell="G15" sqref="G15"/>
    </sheetView>
  </sheetViews>
  <sheetFormatPr defaultRowHeight="15"/>
  <cols>
    <col min="7" max="7" width="141" customWidth="1"/>
  </cols>
  <sheetData>
    <row r="2" spans="1:7">
      <c r="A2" t="s">
        <v>23</v>
      </c>
      <c r="B2" t="s">
        <v>24</v>
      </c>
    </row>
    <row r="3" spans="1:7">
      <c r="A3" t="s">
        <v>25</v>
      </c>
      <c r="B3" t="s">
        <v>26</v>
      </c>
    </row>
    <row r="4" spans="1:7">
      <c r="A4" t="s">
        <v>27</v>
      </c>
      <c r="B4" t="s">
        <v>28</v>
      </c>
    </row>
    <row r="5" spans="1:7">
      <c r="A5" t="s">
        <v>29</v>
      </c>
      <c r="B5" t="s">
        <v>28</v>
      </c>
    </row>
    <row r="6" spans="1:7">
      <c r="A6" t="s">
        <v>31</v>
      </c>
      <c r="B6" t="s">
        <v>30</v>
      </c>
    </row>
    <row r="7" spans="1:7">
      <c r="A7" t="s">
        <v>32</v>
      </c>
      <c r="B7" t="s">
        <v>30</v>
      </c>
    </row>
    <row r="15" spans="1:7" ht="409.5">
      <c r="G15" s="9"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By Dept</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 Mohan</dc:creator>
  <cp:lastModifiedBy>Rama Mohan</cp:lastModifiedBy>
  <dcterms:created xsi:type="dcterms:W3CDTF">2026-07-09T23:43:03Z</dcterms:created>
  <dcterms:modified xsi:type="dcterms:W3CDTF">2026-07-10T00:50:54Z</dcterms:modified>
</cp:coreProperties>
</file>